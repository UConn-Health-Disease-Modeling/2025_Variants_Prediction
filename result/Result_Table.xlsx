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onn-my.sharepoint.com/personal/zfranky6_uconn_edu/Documents/Jo_Franky/Project2_Variants_Modeling/result/"/>
    </mc:Choice>
  </mc:AlternateContent>
  <xr:revisionPtr revIDLastSave="1801" documentId="8_{8D78D349-6564-6F43-B565-10795FE73F5E}" xr6:coauthVersionLast="47" xr6:coauthVersionMax="47" xr10:uidLastSave="{78678EC2-EB74-C74E-9061-E80292E49B07}"/>
  <bookViews>
    <workbookView xWindow="11980" yWindow="700" windowWidth="27880" windowHeight="21100" xr2:uid="{177148E5-113C-D64D-94C6-75179598B1B9}"/>
  </bookViews>
  <sheets>
    <sheet name="ModelPred_Nov22" sheetId="10" r:id="rId1"/>
    <sheet name="ModelPred_Nov17" sheetId="9" state="hidden" r:id="rId2"/>
    <sheet name="Table1" sheetId="8" r:id="rId3"/>
    <sheet name="ModelPred" sheetId="6" state="hidden" r:id="rId4"/>
    <sheet name="FeatureInterp" sheetId="7" r:id="rId5"/>
    <sheet name="Sheet3" sheetId="3" state="hidden" r:id="rId6"/>
    <sheet name="Model_Evaluation_1005" sheetId="5" r:id="rId7"/>
    <sheet name="VariantsExc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1" i="10" l="1"/>
  <c r="H271" i="10"/>
  <c r="K270" i="10"/>
  <c r="H270" i="10"/>
  <c r="K269" i="10"/>
  <c r="H269" i="10"/>
  <c r="K268" i="10"/>
  <c r="H268" i="10"/>
  <c r="K267" i="10"/>
  <c r="H267" i="10"/>
  <c r="K266" i="10"/>
  <c r="H266" i="10"/>
  <c r="K265" i="10"/>
  <c r="H265" i="10"/>
  <c r="K264" i="10"/>
  <c r="H264" i="10"/>
  <c r="K263" i="10"/>
  <c r="H263" i="10"/>
  <c r="K262" i="10"/>
  <c r="H262" i="10"/>
  <c r="K261" i="10"/>
  <c r="H261" i="10"/>
  <c r="K259" i="10"/>
  <c r="H259" i="10"/>
  <c r="K258" i="10"/>
  <c r="H258" i="10"/>
  <c r="K257" i="10"/>
  <c r="H257" i="10"/>
  <c r="K256" i="10"/>
  <c r="H256" i="10"/>
  <c r="K255" i="10"/>
  <c r="H255" i="10"/>
  <c r="K254" i="10"/>
  <c r="H254" i="10"/>
  <c r="K253" i="10"/>
  <c r="H253" i="10"/>
  <c r="K252" i="10"/>
  <c r="H252" i="10"/>
  <c r="K251" i="10"/>
  <c r="H251" i="10"/>
  <c r="K250" i="10"/>
  <c r="H250" i="10"/>
  <c r="K248" i="10"/>
  <c r="H248" i="10"/>
  <c r="K247" i="10"/>
  <c r="H247" i="10"/>
  <c r="K246" i="10"/>
  <c r="H246" i="10"/>
  <c r="K245" i="10"/>
  <c r="H245" i="10"/>
  <c r="K244" i="10"/>
  <c r="H244" i="10"/>
  <c r="K243" i="10"/>
  <c r="H243" i="10"/>
  <c r="K242" i="10"/>
  <c r="H242" i="10"/>
  <c r="K241" i="10"/>
  <c r="H241" i="10"/>
  <c r="K240" i="10"/>
  <c r="H240" i="10"/>
  <c r="K239" i="10"/>
  <c r="H239" i="10"/>
  <c r="K238" i="10"/>
  <c r="H238" i="10"/>
  <c r="K4" i="10"/>
  <c r="K5" i="10"/>
  <c r="K6" i="10"/>
  <c r="K7" i="10"/>
  <c r="K8" i="10"/>
  <c r="K9" i="10"/>
  <c r="K10" i="10"/>
  <c r="K11" i="10"/>
  <c r="K12" i="10"/>
  <c r="K13" i="10"/>
  <c r="K15" i="10"/>
  <c r="K16" i="10"/>
  <c r="K17" i="10"/>
  <c r="K18" i="10"/>
  <c r="K19" i="10"/>
  <c r="K20" i="10"/>
  <c r="K21" i="10"/>
  <c r="K22" i="10"/>
  <c r="K23" i="10"/>
  <c r="K24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6" i="10"/>
  <c r="K57" i="10"/>
  <c r="K58" i="10"/>
  <c r="K59" i="10"/>
  <c r="K60" i="10"/>
  <c r="K61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1" i="10"/>
  <c r="K102" i="10"/>
  <c r="K103" i="10"/>
  <c r="K104" i="10"/>
  <c r="K105" i="10"/>
  <c r="K106" i="10"/>
  <c r="K107" i="10"/>
  <c r="K108" i="10"/>
  <c r="K109" i="10"/>
  <c r="K110" i="10"/>
  <c r="K111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7" i="10"/>
  <c r="K158" i="10"/>
  <c r="K159" i="10"/>
  <c r="K160" i="10"/>
  <c r="K161" i="10"/>
  <c r="K162" i="10"/>
  <c r="K163" i="10"/>
  <c r="K164" i="10"/>
  <c r="K165" i="10"/>
  <c r="K166" i="10"/>
  <c r="K167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4" i="10"/>
  <c r="K185" i="10"/>
  <c r="K186" i="10"/>
  <c r="K187" i="10"/>
  <c r="K188" i="10"/>
  <c r="K189" i="10"/>
  <c r="K190" i="10"/>
  <c r="K191" i="10"/>
  <c r="K192" i="10"/>
  <c r="K193" i="10"/>
  <c r="K195" i="10"/>
  <c r="K196" i="10"/>
  <c r="K197" i="10"/>
  <c r="K198" i="10"/>
  <c r="K3" i="10"/>
  <c r="H3" i="10"/>
  <c r="H4" i="10"/>
  <c r="H5" i="10"/>
  <c r="H6" i="10"/>
  <c r="H7" i="10"/>
  <c r="H8" i="10"/>
  <c r="H9" i="10"/>
  <c r="H10" i="10"/>
  <c r="H11" i="10"/>
  <c r="H12" i="10"/>
  <c r="H13" i="10"/>
  <c r="H15" i="10"/>
  <c r="H16" i="10"/>
  <c r="H17" i="10"/>
  <c r="H18" i="10"/>
  <c r="H19" i="10"/>
  <c r="H20" i="10"/>
  <c r="H21" i="10"/>
  <c r="H22" i="10"/>
  <c r="H23" i="10"/>
  <c r="H24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6" i="10"/>
  <c r="H57" i="10"/>
  <c r="H58" i="10"/>
  <c r="H59" i="10"/>
  <c r="H60" i="10"/>
  <c r="H61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1" i="10"/>
  <c r="H102" i="10"/>
  <c r="H103" i="10"/>
  <c r="H104" i="10"/>
  <c r="H105" i="10"/>
  <c r="H106" i="10"/>
  <c r="H107" i="10"/>
  <c r="H108" i="10"/>
  <c r="H109" i="10"/>
  <c r="H110" i="10"/>
  <c r="H111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7" i="10"/>
  <c r="H158" i="10"/>
  <c r="H159" i="10"/>
  <c r="H160" i="10"/>
  <c r="H161" i="10"/>
  <c r="H162" i="10"/>
  <c r="H163" i="10"/>
  <c r="H164" i="10"/>
  <c r="H165" i="10"/>
  <c r="H166" i="10"/>
  <c r="H167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4" i="10"/>
  <c r="H185" i="10"/>
  <c r="H186" i="10"/>
  <c r="H187" i="10"/>
  <c r="H188" i="10"/>
  <c r="H189" i="10"/>
  <c r="H190" i="10"/>
  <c r="H191" i="10"/>
  <c r="H192" i="10"/>
  <c r="H193" i="10"/>
  <c r="H195" i="10"/>
  <c r="H196" i="10"/>
  <c r="H197" i="10"/>
  <c r="H198" i="10"/>
  <c r="K45" i="9"/>
  <c r="H46" i="9"/>
  <c r="H47" i="9"/>
  <c r="H48" i="9"/>
  <c r="H49" i="9"/>
  <c r="H50" i="9"/>
  <c r="H51" i="9"/>
  <c r="H52" i="9"/>
  <c r="H53" i="9"/>
  <c r="H54" i="9"/>
  <c r="H55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3" i="9"/>
  <c r="H104" i="9"/>
  <c r="H105" i="9"/>
  <c r="H106" i="9"/>
  <c r="H107" i="9"/>
  <c r="H108" i="9"/>
  <c r="H109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1" i="9"/>
  <c r="H272" i="9"/>
  <c r="H273" i="9"/>
  <c r="H274" i="9"/>
  <c r="H275" i="9"/>
  <c r="H45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3" i="9"/>
  <c r="K104" i="9"/>
  <c r="K105" i="9"/>
  <c r="K106" i="9"/>
  <c r="K107" i="9"/>
  <c r="K108" i="9"/>
  <c r="K109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1" i="9"/>
  <c r="K272" i="9"/>
  <c r="K273" i="9"/>
  <c r="K274" i="9"/>
  <c r="K275" i="9"/>
  <c r="H34" i="6"/>
  <c r="H35" i="6"/>
  <c r="H36" i="6"/>
  <c r="H37" i="6"/>
  <c r="H38" i="6"/>
  <c r="H39" i="6"/>
  <c r="H40" i="6"/>
  <c r="H41" i="6"/>
  <c r="H42" i="6"/>
  <c r="K46" i="9"/>
  <c r="K47" i="9"/>
  <c r="K48" i="9"/>
  <c r="K49" i="9"/>
  <c r="K50" i="9"/>
  <c r="K51" i="9"/>
  <c r="K52" i="9"/>
  <c r="K53" i="9"/>
  <c r="K54" i="9"/>
  <c r="K55" i="9"/>
  <c r="K55" i="6"/>
  <c r="H16" i="9"/>
  <c r="H17" i="9"/>
  <c r="H18" i="9"/>
  <c r="H19" i="9"/>
  <c r="H20" i="9"/>
  <c r="H21" i="9"/>
  <c r="H22" i="9"/>
  <c r="H23" i="9"/>
  <c r="H24" i="9"/>
  <c r="H25" i="9"/>
  <c r="H26" i="9"/>
  <c r="H27" i="9"/>
  <c r="H30" i="9"/>
  <c r="H31" i="9"/>
  <c r="H32" i="9"/>
  <c r="H33" i="9"/>
  <c r="H34" i="9"/>
  <c r="H35" i="9"/>
  <c r="H36" i="9"/>
  <c r="H37" i="9"/>
  <c r="H38" i="9"/>
  <c r="H39" i="9"/>
  <c r="H40" i="9"/>
  <c r="H12" i="9"/>
  <c r="H29" i="9"/>
  <c r="H15" i="9"/>
  <c r="H13" i="9"/>
  <c r="H11" i="9"/>
  <c r="H10" i="9"/>
  <c r="H9" i="9"/>
  <c r="H8" i="9"/>
  <c r="H7" i="9"/>
  <c r="H6" i="9"/>
  <c r="H5" i="9"/>
  <c r="H4" i="9"/>
  <c r="H3" i="9"/>
  <c r="K158" i="6"/>
  <c r="H158" i="6"/>
  <c r="K157" i="6"/>
  <c r="H157" i="6"/>
  <c r="K156" i="6"/>
  <c r="H156" i="6"/>
  <c r="K155" i="6"/>
  <c r="H155" i="6"/>
  <c r="K154" i="6"/>
  <c r="H154" i="6"/>
  <c r="K153" i="6"/>
  <c r="H153" i="6"/>
  <c r="K152" i="6"/>
  <c r="H152" i="6"/>
  <c r="K150" i="6"/>
  <c r="H150" i="6"/>
  <c r="K149" i="6"/>
  <c r="H149" i="6"/>
  <c r="K148" i="6"/>
  <c r="H148" i="6"/>
  <c r="K147" i="6"/>
  <c r="H147" i="6"/>
  <c r="K146" i="6"/>
  <c r="H146" i="6"/>
  <c r="K145" i="6"/>
  <c r="H145" i="6"/>
  <c r="K144" i="6"/>
  <c r="H144" i="6"/>
  <c r="K143" i="6"/>
  <c r="H143" i="6"/>
  <c r="H141" i="6"/>
  <c r="H140" i="6"/>
  <c r="H139" i="6"/>
  <c r="H138" i="6"/>
  <c r="H137" i="6"/>
  <c r="H136" i="6"/>
  <c r="H135" i="6"/>
  <c r="K124" i="6"/>
  <c r="H124" i="6"/>
  <c r="K123" i="6"/>
  <c r="H123" i="6"/>
  <c r="K122" i="6"/>
  <c r="H122" i="6"/>
  <c r="K121" i="6"/>
  <c r="H121" i="6"/>
  <c r="K120" i="6"/>
  <c r="H120" i="6"/>
  <c r="K119" i="6"/>
  <c r="H119" i="6"/>
  <c r="K118" i="6"/>
  <c r="H118" i="6"/>
  <c r="K117" i="6"/>
  <c r="H117" i="6"/>
  <c r="K116" i="6"/>
  <c r="H116" i="6"/>
  <c r="K115" i="6"/>
  <c r="H115" i="6"/>
  <c r="K114" i="6"/>
  <c r="H114" i="6"/>
  <c r="K113" i="6"/>
  <c r="H113" i="6"/>
  <c r="K111" i="6"/>
  <c r="H111" i="6"/>
  <c r="K110" i="6"/>
  <c r="H110" i="6"/>
  <c r="K109" i="6"/>
  <c r="H109" i="6"/>
  <c r="K108" i="6"/>
  <c r="H108" i="6"/>
  <c r="K107" i="6"/>
  <c r="H107" i="6"/>
  <c r="K106" i="6"/>
  <c r="H106" i="6"/>
  <c r="K105" i="6"/>
  <c r="H105" i="6"/>
  <c r="K104" i="6"/>
  <c r="H104" i="6"/>
  <c r="K103" i="6"/>
  <c r="H103" i="6"/>
  <c r="K101" i="6"/>
  <c r="H101" i="6"/>
  <c r="K100" i="6"/>
  <c r="H100" i="6"/>
  <c r="K99" i="6"/>
  <c r="H99" i="6"/>
  <c r="K98" i="6"/>
  <c r="H98" i="6"/>
  <c r="K97" i="6"/>
  <c r="H97" i="6"/>
  <c r="K96" i="6"/>
  <c r="H96" i="6"/>
  <c r="K95" i="6"/>
  <c r="H95" i="6"/>
  <c r="K94" i="6"/>
  <c r="H94" i="6"/>
  <c r="K92" i="6"/>
  <c r="H92" i="6"/>
  <c r="K91" i="6"/>
  <c r="H91" i="6"/>
  <c r="K90" i="6"/>
  <c r="H90" i="6"/>
  <c r="K89" i="6"/>
  <c r="H89" i="6"/>
  <c r="K88" i="6"/>
  <c r="H88" i="6"/>
  <c r="K87" i="6"/>
  <c r="H87" i="6"/>
  <c r="K86" i="6"/>
  <c r="H86" i="6"/>
  <c r="K85" i="6"/>
  <c r="H85" i="6"/>
  <c r="K84" i="6"/>
  <c r="H84" i="6"/>
  <c r="K83" i="6"/>
  <c r="H83" i="6"/>
  <c r="K81" i="6"/>
  <c r="H81" i="6"/>
  <c r="K80" i="6"/>
  <c r="H80" i="6"/>
  <c r="K79" i="6"/>
  <c r="H79" i="6"/>
  <c r="K78" i="6"/>
  <c r="H78" i="6"/>
  <c r="K77" i="6"/>
  <c r="H77" i="6"/>
  <c r="K76" i="6"/>
  <c r="H76" i="6"/>
  <c r="K75" i="6"/>
  <c r="H75" i="6"/>
  <c r="K74" i="6"/>
  <c r="H74" i="6"/>
  <c r="K73" i="6"/>
  <c r="H73" i="6"/>
  <c r="K72" i="6"/>
  <c r="H72" i="6"/>
  <c r="K70" i="6"/>
  <c r="H70" i="6"/>
  <c r="K69" i="6"/>
  <c r="H69" i="6"/>
  <c r="K67" i="6"/>
  <c r="H67" i="6"/>
  <c r="K66" i="6"/>
  <c r="H66" i="6"/>
  <c r="K65" i="6"/>
  <c r="H65" i="6"/>
  <c r="K64" i="6"/>
  <c r="H64" i="6"/>
  <c r="K63" i="6"/>
  <c r="H63" i="6"/>
  <c r="K62" i="6"/>
  <c r="H62" i="6"/>
  <c r="K61" i="6"/>
  <c r="H61" i="6"/>
  <c r="K59" i="6"/>
  <c r="H59" i="6"/>
  <c r="K58" i="6"/>
  <c r="H58" i="6"/>
  <c r="K57" i="6"/>
  <c r="H57" i="6"/>
  <c r="K56" i="6"/>
  <c r="H56" i="6"/>
  <c r="H55" i="6"/>
  <c r="K54" i="6"/>
  <c r="H54" i="6"/>
  <c r="K53" i="6"/>
  <c r="H53" i="6"/>
  <c r="H51" i="6"/>
  <c r="H50" i="6"/>
  <c r="H49" i="6"/>
  <c r="H48" i="6"/>
  <c r="H47" i="6"/>
  <c r="H46" i="6"/>
  <c r="H45" i="6"/>
  <c r="H44" i="6"/>
  <c r="K127" i="6"/>
  <c r="K128" i="6"/>
  <c r="K129" i="6"/>
  <c r="K130" i="6"/>
  <c r="K131" i="6"/>
  <c r="K132" i="6"/>
  <c r="K133" i="6"/>
  <c r="K160" i="6"/>
  <c r="K161" i="6"/>
  <c r="K162" i="6"/>
  <c r="K163" i="6"/>
  <c r="K126" i="6"/>
  <c r="H127" i="6"/>
  <c r="H128" i="6"/>
  <c r="H129" i="6"/>
  <c r="H130" i="6"/>
  <c r="H131" i="6"/>
  <c r="H132" i="6"/>
  <c r="H133" i="6"/>
  <c r="H160" i="6"/>
  <c r="H161" i="6"/>
  <c r="H162" i="6"/>
  <c r="H163" i="6"/>
  <c r="H4" i="6"/>
  <c r="H5" i="6"/>
  <c r="H6" i="6"/>
  <c r="H7" i="6"/>
  <c r="H8" i="6"/>
  <c r="H9" i="6"/>
  <c r="H10" i="6"/>
  <c r="H11" i="6"/>
  <c r="H13" i="6"/>
  <c r="H14" i="6"/>
  <c r="H15" i="6"/>
  <c r="H16" i="6"/>
  <c r="H17" i="6"/>
  <c r="H18" i="6"/>
  <c r="H19" i="6"/>
  <c r="H20" i="6"/>
  <c r="H22" i="6"/>
  <c r="H23" i="6"/>
  <c r="H24" i="6"/>
  <c r="H25" i="6"/>
  <c r="H26" i="6"/>
  <c r="H27" i="6"/>
  <c r="H28" i="6"/>
  <c r="H3" i="6"/>
  <c r="H126" i="6"/>
  <c r="H13" i="3"/>
  <c r="H14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4" i="3"/>
  <c r="H5" i="3"/>
  <c r="H6" i="3"/>
  <c r="H7" i="3"/>
  <c r="H8" i="3"/>
  <c r="H9" i="3"/>
  <c r="H10" i="3"/>
  <c r="H11" i="3"/>
  <c r="H3" i="3"/>
</calcChain>
</file>

<file path=xl/sharedStrings.xml><?xml version="1.0" encoding="utf-8"?>
<sst xmlns="http://schemas.openxmlformats.org/spreadsheetml/2006/main" count="5079" uniqueCount="431">
  <si>
    <t>Model</t>
  </si>
  <si>
    <t>Input of 14 days</t>
  </si>
  <si>
    <t>Input of 21 days</t>
  </si>
  <si>
    <t>Input of 28 days</t>
  </si>
  <si>
    <t>Input of 35 days</t>
  </si>
  <si>
    <t>rmse</t>
  </si>
  <si>
    <t>r2</t>
  </si>
  <si>
    <t>Days over 30%</t>
  </si>
  <si>
    <t>United States</t>
  </si>
  <si>
    <t>AY (B.1.617.2)</t>
  </si>
  <si>
    <t>AY.122</t>
  </si>
  <si>
    <t>AY.25.1</t>
  </si>
  <si>
    <t>AY.39.1</t>
  </si>
  <si>
    <t>AY.4</t>
  </si>
  <si>
    <t>AY.43</t>
  </si>
  <si>
    <t>B.1.1</t>
  </si>
  <si>
    <t>B.1.2</t>
  </si>
  <si>
    <t>BA.1 (BA.1)</t>
  </si>
  <si>
    <t>BA.1.1 (BA.1.1)</t>
  </si>
  <si>
    <t>BA.1.17 (BA.1.17)</t>
  </si>
  <si>
    <t>BA.2 (BA.2)</t>
  </si>
  <si>
    <t>BA.2.10 (BA.2.10)</t>
  </si>
  <si>
    <t>BA.2.3 (BA.2.3)</t>
  </si>
  <si>
    <t>BA.2.9 (BA.2.9)</t>
  </si>
  <si>
    <t>BA.5.1 (BA.5.1)</t>
  </si>
  <si>
    <t>BA.5.2 (BA.5.2)</t>
  </si>
  <si>
    <t>BF (BA.5.2.1)</t>
  </si>
  <si>
    <t>BG (BA.2.12.1)</t>
  </si>
  <si>
    <t>BQ.1.1</t>
  </si>
  <si>
    <t>EG.5.1</t>
  </si>
  <si>
    <t>HK.3</t>
  </si>
  <si>
    <t>HV.1</t>
  </si>
  <si>
    <t>JN.1</t>
  </si>
  <si>
    <t>JN.1.4</t>
  </si>
  <si>
    <t>KP.3</t>
  </si>
  <si>
    <t>P.1</t>
  </si>
  <si>
    <t>Q (B.1.1.7)</t>
  </si>
  <si>
    <t>XBB.1.16</t>
  </si>
  <si>
    <t>XBB.1.5</t>
  </si>
  <si>
    <t>Country</t>
  </si>
  <si>
    <t>Lineage</t>
  </si>
  <si>
    <t>Accuracy</t>
  </si>
  <si>
    <t>Macro-F1</t>
  </si>
  <si>
    <t>100+</t>
  </si>
  <si>
    <t>1–30</t>
  </si>
  <si>
    <t>31–100</t>
  </si>
  <si>
    <t>Onset date</t>
  </si>
  <si>
    <t>United Kingdom</t>
  </si>
  <si>
    <t>South Korea</t>
  </si>
  <si>
    <t>AY.69</t>
  </si>
  <si>
    <t>Dur. Acc.</t>
  </si>
  <si>
    <t>Pred. Dur.</t>
  </si>
  <si>
    <t>Obs. Dur.</t>
  </si>
  <si>
    <t>Obs. Peak</t>
  </si>
  <si>
    <t>Pred. Peak</t>
  </si>
  <si>
    <t>Peak. RMSE</t>
  </si>
  <si>
    <t>Offset date</t>
  </si>
  <si>
    <t>-</t>
  </si>
  <si>
    <t>BA.1.1 (BA.1.1)*</t>
  </si>
  <si>
    <t>BA.5.2 (BA.5.2)*</t>
  </si>
  <si>
    <t>others (n = 90)</t>
  </si>
  <si>
    <t>others (n = 60)</t>
  </si>
  <si>
    <t>others (n = 24)</t>
  </si>
  <si>
    <t>Germany</t>
  </si>
  <si>
    <t>Japan</t>
  </si>
  <si>
    <t>B.1.1.214</t>
  </si>
  <si>
    <t>AY.29</t>
  </si>
  <si>
    <t>Canada</t>
  </si>
  <si>
    <t>AY.27</t>
  </si>
  <si>
    <t>France</t>
  </si>
  <si>
    <t>B.1.160</t>
  </si>
  <si>
    <t>Denmark</t>
  </si>
  <si>
    <t>Sweden</t>
  </si>
  <si>
    <t>Spain</t>
  </si>
  <si>
    <t>Brazil</t>
  </si>
  <si>
    <t>P.2</t>
  </si>
  <si>
    <t>AY.99.2</t>
  </si>
  <si>
    <t>FE.1</t>
  </si>
  <si>
    <t>JD.1.1</t>
  </si>
  <si>
    <t>Australia</t>
  </si>
  <si>
    <t>D.2</t>
  </si>
  <si>
    <t>AY.39.1.2</t>
  </si>
  <si>
    <t>India</t>
  </si>
  <si>
    <t>BA.2.75 (BA.2.75)</t>
  </si>
  <si>
    <t>BA.2.38 (BA.2.38)</t>
  </si>
  <si>
    <t>XBB</t>
  </si>
  <si>
    <t>Italy</t>
  </si>
  <si>
    <t>Austria</t>
  </si>
  <si>
    <t>AY.9.2**</t>
  </si>
  <si>
    <t>BQ.1.1**</t>
  </si>
  <si>
    <t>R.1*</t>
  </si>
  <si>
    <t>BA.1.1.2 (BA.1.1.2)*</t>
  </si>
  <si>
    <t>JN.1*</t>
  </si>
  <si>
    <t>P.1.14*</t>
  </si>
  <si>
    <t>BG (BA.2.12.1)*</t>
  </si>
  <si>
    <t>HV.1**</t>
  </si>
  <si>
    <t>XBB.1.5*</t>
  </si>
  <si>
    <t>JN.1.1*</t>
  </si>
  <si>
    <t>BA.2.9 (BA.2.9)*</t>
  </si>
  <si>
    <t>B.1.160**</t>
  </si>
  <si>
    <t>BA.2 (BA.2)*</t>
  </si>
  <si>
    <t>BA.4.1 (BA.4.1)**</t>
  </si>
  <si>
    <t>AY.39.1.3**</t>
  </si>
  <si>
    <t>XBF**</t>
  </si>
  <si>
    <t>EG.5.1*</t>
  </si>
  <si>
    <t>AE (B.1.1.306)*</t>
  </si>
  <si>
    <t>B.1.36*</t>
  </si>
  <si>
    <t>FU (XBB.1.16.1)*</t>
  </si>
  <si>
    <t>B.1.36.29*</t>
  </si>
  <si>
    <t>BD (BA.1.17.2)**</t>
  </si>
  <si>
    <t>BA.1 (BA.1)**</t>
  </si>
  <si>
    <t>BA.4 (BA.4)*</t>
  </si>
  <si>
    <t>BF (BA.5.2.1)*</t>
  </si>
  <si>
    <t>others (n = 17)</t>
  </si>
  <si>
    <t>others (n = 21)</t>
  </si>
  <si>
    <t>others (n = 31)</t>
  </si>
  <si>
    <t>others (n = 26)</t>
  </si>
  <si>
    <t>others (n = 38)</t>
  </si>
  <si>
    <t>others (n = 34)</t>
  </si>
  <si>
    <t>others (n = 53)</t>
  </si>
  <si>
    <t>others (n = 61)</t>
  </si>
  <si>
    <t>others (n = 74)</t>
  </si>
  <si>
    <t>others (n = 85)</t>
  </si>
  <si>
    <t>P (B.1.1.28)</t>
  </si>
  <si>
    <t>B.1</t>
  </si>
  <si>
    <t>C57 (B.1.1.157)</t>
  </si>
  <si>
    <t>B.1.258</t>
  </si>
  <si>
    <t>P4 (B.1.1.284)</t>
  </si>
  <si>
    <t>B.1.351</t>
  </si>
  <si>
    <t>AY.127</t>
  </si>
  <si>
    <t>AY.36</t>
  </si>
  <si>
    <t>AY.4.8</t>
  </si>
  <si>
    <t>AY.9.2</t>
  </si>
  <si>
    <t>AY.114</t>
  </si>
  <si>
    <t>AY.120</t>
  </si>
  <si>
    <t>AY.46.4</t>
  </si>
  <si>
    <t>BE.9</t>
  </si>
  <si>
    <t>QB.1.177.82 (B.1.177.82)</t>
  </si>
  <si>
    <t>B.1.279</t>
  </si>
  <si>
    <t>EG.5.1.3</t>
  </si>
  <si>
    <t>Exclusion Stage</t>
  </si>
  <si>
    <t>Already Reached 30%</t>
  </si>
  <si>
    <t>Never reach 1%</t>
  </si>
  <si>
    <t>✓</t>
  </si>
  <si>
    <t>14 Days</t>
  </si>
  <si>
    <t>21 Days</t>
  </si>
  <si>
    <t>28 Days</t>
  </si>
  <si>
    <t>35 Days</t>
  </si>
  <si>
    <t>FN</t>
  </si>
  <si>
    <t>FP</t>
  </si>
  <si>
    <t>T</t>
  </si>
  <si>
    <t>B.1.619.1</t>
  </si>
  <si>
    <t>AY.122.5</t>
  </si>
  <si>
    <t>Peak. Diff</t>
  </si>
  <si>
    <t xml:space="preserve"> </t>
  </si>
  <si>
    <t>glm</t>
  </si>
  <si>
    <t>bayesglm</t>
  </si>
  <si>
    <t>svm</t>
  </si>
  <si>
    <t>gam</t>
  </si>
  <si>
    <t>SuperLearner</t>
  </si>
  <si>
    <t>elasticnet</t>
  </si>
  <si>
    <t>nnet</t>
  </si>
  <si>
    <t>CART</t>
  </si>
  <si>
    <t>F</t>
  </si>
  <si>
    <t>XBF</t>
  </si>
  <si>
    <t>JN.1.1</t>
  </si>
  <si>
    <t>AE (B.1.1.306)</t>
  </si>
  <si>
    <t>B.1.36</t>
  </si>
  <si>
    <t>R.1</t>
  </si>
  <si>
    <t>BA.1.1.2 (BA.1.1.2)</t>
  </si>
  <si>
    <t>others (n = 54)</t>
  </si>
  <si>
    <t>others (n = 32)</t>
  </si>
  <si>
    <t>others (n = 18)</t>
  </si>
  <si>
    <t>others (n = 27)</t>
  </si>
  <si>
    <t>others (n = 76)</t>
  </si>
  <si>
    <t>others (n = 86)</t>
  </si>
  <si>
    <t>others (n = 75)</t>
  </si>
  <si>
    <t>others (n = 36)</t>
  </si>
  <si>
    <t>Log-linear slope</t>
  </si>
  <si>
    <t>log_slope</t>
  </si>
  <si>
    <t>Growth trend</t>
  </si>
  <si>
    <t>Growth or decline estimated</t>
  </si>
  <si>
    <t>Short-window slopes</t>
  </si>
  <si>
    <t>short_slopes</t>
  </si>
  <si>
    <t>Early growth</t>
  </si>
  <si>
    <t>Slopes from first k days (e.g., 7 days)</t>
  </si>
  <si>
    <t>Longest increasing run</t>
  </si>
  <si>
    <t>inc_run</t>
  </si>
  <si>
    <t>Temporal dynamics</t>
  </si>
  <si>
    <t>Longest sequence of strictly increasing values</t>
  </si>
  <si>
    <t>Non-zero count</t>
  </si>
  <si>
    <t>nonzero_days</t>
  </si>
  <si>
    <t>Sampling activity</t>
  </si>
  <si>
    <t>Days with non-zero observed share</t>
  </si>
  <si>
    <t>#</t>
  </si>
  <si>
    <t>Feature Name</t>
  </si>
  <si>
    <t>Short Name</t>
  </si>
  <si>
    <t>Category</t>
  </si>
  <si>
    <t>Description</t>
  </si>
  <si>
    <t>DN_HistogramMode_5</t>
  </si>
  <si>
    <t>mode_5</t>
  </si>
  <si>
    <t>Distribution shape</t>
  </si>
  <si>
    <t>5-bin histogram mode</t>
  </si>
  <si>
    <t>DN_HistogramMode_10</t>
  </si>
  <si>
    <t>mode_10</t>
  </si>
  <si>
    <t>10-bin histogram mode</t>
  </si>
  <si>
    <t>DN_OutlierInclude_p_001_mdrmd</t>
  </si>
  <si>
    <t>outlier_timing_pos</t>
  </si>
  <si>
    <t>Extreme event timing</t>
  </si>
  <si>
    <t>Positive outlier timing</t>
  </si>
  <si>
    <t>DN_OutlierInclude_n_001_mdrmd</t>
  </si>
  <si>
    <t>outlier_timing_neg</t>
  </si>
  <si>
    <t>Negative outlier timing</t>
  </si>
  <si>
    <t>first1e_acf_tau</t>
  </si>
  <si>
    <t>acf_timescale</t>
  </si>
  <si>
    <t>Linear autocorrelation</t>
  </si>
  <si>
    <t>First 1/e crossing of the ACF</t>
  </si>
  <si>
    <t>firstMin_acf</t>
  </si>
  <si>
    <t>acf_first_min</t>
  </si>
  <si>
    <t>First minimum of the ACF</t>
  </si>
  <si>
    <t>SP_Summaries_welch_rect_area_5_1</t>
  </si>
  <si>
    <t>low_freq_power</t>
  </si>
  <si>
    <t>Power in lowest 20% frequencies</t>
  </si>
  <si>
    <t>SP_Summaries_welch_rect_centroid</t>
  </si>
  <si>
    <t>centroid_freq</t>
  </si>
  <si>
    <t>Centroid frequency</t>
  </si>
  <si>
    <t>FC_LocalSimple_mean3_stderr</t>
  </si>
  <si>
    <t>forecast_error</t>
  </si>
  <si>
    <t>Simple forecasting</t>
  </si>
  <si>
    <t>Error of 3-point rolling mean forecast</t>
  </si>
  <si>
    <t>FC_LocalSimple_mean1_tauresrat</t>
  </si>
  <si>
    <t>whiten_timescale</t>
  </si>
  <si>
    <t>Incremental differences</t>
  </si>
  <si>
    <t>Change in autocorr. timescale after differencing</t>
  </si>
  <si>
    <t>MD_hrv_classic_pnn40</t>
  </si>
  <si>
    <t>high_fluctuation</t>
  </si>
  <si>
    <t>Proportion of high incremental changes</t>
  </si>
  <si>
    <t>SB_BinaryStats_mean_longstretch1</t>
  </si>
  <si>
    <t>stretch_high</t>
  </si>
  <si>
    <t>Symbolic</t>
  </si>
  <si>
    <t>Longest stretch of above-mean values</t>
  </si>
  <si>
    <t>SB_BinaryStats_diff_longstretch0</t>
  </si>
  <si>
    <t>stretch_decreasing</t>
  </si>
  <si>
    <t>Longest stretch of decreasing values</t>
  </si>
  <si>
    <t>SB_MotifThree_quantile_hh</t>
  </si>
  <si>
    <t>entropy_pairs</t>
  </si>
  <si>
    <t>Entropy of successive pairs in symbolized series</t>
  </si>
  <si>
    <t>CO_HistogramAMI_even_2_5</t>
  </si>
  <si>
    <t>ami2</t>
  </si>
  <si>
    <t>Nonlinear autocorrelation</t>
  </si>
  <si>
    <t>Histogram-based AMI (lag 2, 5 bins)</t>
  </si>
  <si>
    <t>CO_trev_1_num</t>
  </si>
  <si>
    <t>trev</t>
  </si>
  <si>
    <t>Time reversibility</t>
  </si>
  <si>
    <t>IN_AutoMutualInfoStats_40_gaussian_fmmi</t>
  </si>
  <si>
    <t>ami_timescale</t>
  </si>
  <si>
    <t>First minimum of AMI function</t>
  </si>
  <si>
    <t>SB_TransitionMatrix_3ac_sumdiagcov</t>
  </si>
  <si>
    <t>transition_variance</t>
  </si>
  <si>
    <t>Transition matrix column variance</t>
  </si>
  <si>
    <t>PD_PeriodicityWang_th001</t>
  </si>
  <si>
    <t>periodicity</t>
  </si>
  <si>
    <t>Wang's periodicity metric</t>
  </si>
  <si>
    <t>CO_Embed2_Dist_tau_d_expfit_meandiff</t>
  </si>
  <si>
    <t>embedding_dist</t>
  </si>
  <si>
    <t>Exponential fit to embedding dist. distribution</t>
  </si>
  <si>
    <t>SC_FluctAnal_2_rsrangefit_50_1_logi_prop_r1</t>
  </si>
  <si>
    <t>rs_range</t>
  </si>
  <si>
    <t>Self-affine scaling</t>
  </si>
  <si>
    <t>Rescaled range fluctuation analysis (low-scale)</t>
  </si>
  <si>
    <t>SC_FluctAnal_2_dfa_50_1_2_logi_prop_r1</t>
  </si>
  <si>
    <t>dfa</t>
  </si>
  <si>
    <t>Detrended fluctuation analysis (low-scale)</t>
  </si>
  <si>
    <t>DN_Mean</t>
  </si>
  <si>
    <t>mean</t>
  </si>
  <si>
    <t>Catch24 extension</t>
  </si>
  <si>
    <t>Mean of raw series</t>
  </si>
  <si>
    <t>DN_Spread_Std</t>
  </si>
  <si>
    <t>std</t>
  </si>
  <si>
    <t>Standard deviation of raw series</t>
  </si>
  <si>
    <t>JN.1 (12.8%); JN.1.4 (10.8%); JN.1.1 (6.9%); JN.1.4.5 (4.7%); HK.3 (4.6%)</t>
  </si>
  <si>
    <t>XBB.1.5 (1.2%); CH.1.1 (1%); BQ.1.1 (1%); XBB.1.5.63 (0.9%); EG.1.2 (0.9%)</t>
  </si>
  <si>
    <t>BA.2 (1.7%); BA.5.1 (1.6%); BA.5.2.1 (1.6%); BA.5.2 (1.6%); BA.5 (1.5%)</t>
  </si>
  <si>
    <t>B.1.617.2 (7.8%); AY.43 (6.9%); AY.122 (6.9%); AY.4 (6.4%); AY.46.6 (4.9%)</t>
  </si>
  <si>
    <t>B.1 (10.4%); B.1.1 (10.3%); B.1.160 (6.5%); B.1.258 (6%); B.1.1.70 (4.4%)</t>
  </si>
  <si>
    <t>JN.1 (4.9%); JN.1.11 (4.6%); KP.3.1.1 (4.2%); JN.1.16 (4.1%); JN.1.4 (3.5%)</t>
  </si>
  <si>
    <t>XBB.1.5 (1.8%); BQ.1.1 (1.2%); CH.1.1 (1.2%); XBB.1.9.1 (1%); BQ.1.1.47 (1%)</t>
  </si>
  <si>
    <t>BA.2 (2%); BA.1.1 (1.5%); BA.2.9 (1.5%); BA.5.1 (1.4%); BA.1 (1.3%)</t>
  </si>
  <si>
    <t>B.1.617.2 (2.7%); AY.122 (2.6%); B.1.1.7 (2.4%); AY.4 (2.2%); AY.43 (2.2%)</t>
  </si>
  <si>
    <t>B.1 (7.7%); B.1.177 (7.2%); B.1.1 (6.5%); B.1.160 (5.5%); B.1.177.33 (5.2%)</t>
  </si>
  <si>
    <t>JN.1.11 (7.8%); JN.1 (7.7%); KP.2 (5.8%); JN.1.1 (5.5%); JN.1.11.1 (4.7%)</t>
  </si>
  <si>
    <t>XBB.2.3 (3.5%); XBB.1.16 (3.5%); XBB.1.16.1 (3.4%); XBB.1 (3.2%); XBB.2.3.2 (3.2%)</t>
  </si>
  <si>
    <t>BA.2 (3.5%); BA.2.10 (3.2%); BA.2.10.1 (2.2%); BA.2.38 (2.2%); BA.1.1 (2%)</t>
  </si>
  <si>
    <t>B.1.617.2 (5.2%); AY.122 (4.8%); AY.112 (4.4%); AY.127 (4.3%); AY.120 (4.2%)</t>
  </si>
  <si>
    <t>B.1 (8.4%); B.1.36 (8.3%); B.1.1.306 (8.3%); B.1.36.8 (6.2%); B.1.1 (6%)</t>
  </si>
  <si>
    <t>South Korea</t>
  </si>
  <si>
    <t>JN.1 (3.3%); KP.3 (3.1%); JN.1.32 (2.9%); KW.1 (2.8%); KW.1.1 (2.8%)</t>
  </si>
  <si>
    <t>XBC.1.6 (1.5%); XBB.1.5 (1.4%); XBC.1.3 (1.3%); XBF (1.2%); EG.1 (1.2%)</t>
  </si>
  <si>
    <t>BA.2 (1.6%); BA.5.2.1 (1.3%); BA.2.3 (1.3%); BA.5.2 (1.3%); BA.5.1 (1.2%)</t>
  </si>
  <si>
    <t>AY.39.1 (10.6%); AY.39.1.2 (9.8%); AY.39 (9.7%); AY.39.1.3 (8%); AY.39.1.4 (6%)</t>
  </si>
  <si>
    <t>D.2 (11.6%); D.3 (7.9%); B.1 (5.3%); B.1.1 (3.9%); B (2.8%)</t>
  </si>
  <si>
    <t>JN.1 (5.9%); XDR (5.7%); JN.1.43.1 (5.5%); JN.1.1 (5.3%); JN.1.29 (5.1%)</t>
  </si>
  <si>
    <t>XBB.1.5 (4%); GK.1 (3.6%); XBB.1.5.70 (3.3%); FE.1.2 (3.2%); XBB.1.18.1 (3.1%)</t>
  </si>
  <si>
    <t>BA.2 (2.9%); BA.1.1 (2.6%); BA.1 (2.5%); BA.1.14.1 (2.2%); BA.5.2.1 (2.1%)</t>
  </si>
  <si>
    <t>P.1 (4.4%); P.1.7 (3.7%); AY.101 (3.5%); AY.99.2 (3.5%); P.1.14 (3.4%)</t>
  </si>
  <si>
    <t>B.1.1.28 (17.8%); B.1.1.33 (17.5%); B.1.1 (14.2%); P.2 (8.7%); B.1 (5.7%)</t>
  </si>
  <si>
    <t>JN.1 (3.2%); JN.1.11 (2.3%); KP.3.1.1 (2.3%); KP.3.1 (2.2%); JN.1.32 (2.2%)</t>
  </si>
  <si>
    <t>XBB.1.5 (1.7%); XBB.2.3 (1.3%); XBB.1.16 (1.1%); XBB.1.9.1 (1.1%); DV.7.1 (1.1%)</t>
  </si>
  <si>
    <t>BA.2 (2.5%); BA.2.9 (2%); BA.5.1 (1.7%); BA.2.3 (1.6%); BA.1.1 (1.5%)</t>
  </si>
  <si>
    <t>B.1.617.2 (2.6%); B.1.1.7 (2.4%); AY.43 (2.3%); AY.42 (2.3%); AY.122 (2.2%)</t>
  </si>
  <si>
    <t>B.1 (11.2%); B.1.177 (8.2%); B.1.1 (8.1%); A.2 (4.9%); A.5 (4.6%)</t>
  </si>
  <si>
    <t>JN.1.16 (3.8%); KP.3.1 (3.5%); JN.1 (3.1%); KP.3.1.1 (3.1%); JN.1.4 (2.7%)</t>
  </si>
  <si>
    <t>XBB.1.5 (1.3%); EG.5.1.1 (1.1%); EG.5.1.3 (1%); HK.3 (1%); JN.2 (1%)</t>
  </si>
  <si>
    <t>BA.2 (1.7%); BA.2.9 (1.5%); BA.2.65 (1.4%); BA.5.2.1 (1.2%); BA.5.1 (1.2%)</t>
  </si>
  <si>
    <t>B.1.1.7 (2.5%); B.1.617.2 (2.1%); B.1.351 (2.1%); AY.122 (1.8%); AY.4 (1.6%)</t>
  </si>
  <si>
    <t>B.1.1 (12.7%); B.1 (11.4%); B.1.177 (5.4%); B.1.160 (5.3%); B.1.177.82 (4.4%)</t>
  </si>
  <si>
    <t>KP.3.1.1 (1.8%); KP.3.1 (1.7%); KP.2.2 (1.6%); KP.2.3 (1.6%); KP.3 (1.6%)</t>
  </si>
  <si>
    <t>XBB.1.5 (0.7%); XBB.1.9.1 (0.6%); XBB.1.16 (0.6%); XBB.2.3 (0.5%); XBB.1.17.1 (0.5%)</t>
  </si>
  <si>
    <t>BA.2 (1.1%); BA.2.9 (0.9%); BA.2.3 (0.8%); BA.1.18 (0.8%); BA.1.1 (0.8%)</t>
  </si>
  <si>
    <t>B.1.617.2 (1.5%); AY.122 (1.4%); AY.43 (1.4%); AY.5 (1.4%); AY.4 (1.4%)</t>
  </si>
  <si>
    <t>B.1 (8.7%); B.1.1 (6.6%); B.1.160 (6.4%); B.1.177 (6%); B.1.1.269 (4%)</t>
  </si>
  <si>
    <t>KP.2 (1.7%); KP.3 (1.7%); JN.1.4 (1.7%); JN.1 (1.7%); JN.1.7 (1.6%)</t>
  </si>
  <si>
    <t>XBB.1.5 (1.1%); XBB.1.16 (0.8%); EG.5.1.1 (0.7%); XBB.1.16.6 (0.6%); EG.5.1 (0.6%)</t>
  </si>
  <si>
    <t>BA.2 (1.1%); BA.2.3 (1%); BA.2.12.1 (1%); BA.5.1 (0.9%); BA.1.1 (0.9%)</t>
  </si>
  <si>
    <t>B.1.617.2 (2.4%); AY.27 (2.2%); AY.74 (2%); B.1.1.7 (2%); AY.122 (1.9%)</t>
  </si>
  <si>
    <t>B.1.1.176 (3.9%); B.1.1 (3.8%); B.1 (3.5%); B.1.279 (3.5%); B.1.128 (3.3%)</t>
  </si>
  <si>
    <t>JN.1.20 (2.6%); KP.2 (2.3%); KP.3.1 (2.3%); KP.3.3 (2.3%); KP.3 (2.3%)</t>
  </si>
  <si>
    <t>XBB.1.5 (1%); CH.1.1.12 (0.8%); CH.1.1 (0.8%); XBB.1 (0.8%); BQ.1.1 (0.7%)</t>
  </si>
  <si>
    <t>BA.2 (1.7%); BA.2.9 (1.6%); BA.2.3 (1.3%); BA.2.65 (1.3%); BA.1.1 (1.3%)</t>
  </si>
  <si>
    <t>B.1.617.2 (1.9%); AY.122 (1.7%); AY.4 (1.7%); AY.46 (1.6%); AY.43 (1.5%)</t>
  </si>
  <si>
    <t>B.1.1 (1.5%); B.1 (1.5%); B.1.1.298 (1.5%); B.1.160 (1.5%); B.1.1.277 (1.4%)</t>
  </si>
  <si>
    <t>XDQ.1 (2.3%); JN.1 (2.2%); XDQ (2.1%); JN.1.4 (2.1%); BA.2.86.1 (2%)</t>
  </si>
  <si>
    <t>XBB.1.5 (0.8%); BF.7.15 (0.6%); BN.1.2 (0.6%); BN.1.2.2 (0.6%); BF.7.4.1 (0.6%)</t>
  </si>
  <si>
    <t>BA.2.3 (1%); BA.2 (0.9%); BA.5.2.1 (0.9%); BA.5.1 (0.9%); BA.5.2 (0.9%)</t>
  </si>
  <si>
    <t>B.1.1.7 (7.8%); B.1.617.2 (6.8%); AY.29 (6%); AY.75.3 (5.3%); AY.29.1 (4.9%)</t>
  </si>
  <si>
    <t>B.1.1.284 (14%); B.1.1.214 (13.8%); B.1.1 (8.5%); B.1.560 (4.3%); B.1 (4%)</t>
  </si>
  <si>
    <t>JN.1 (6.5%); KP.3.3 (3.6%); KP.3.1.1 (3.4%); JN.1.16 (3.3%); JN.1.4 (2.9%)</t>
  </si>
  <si>
    <t>XBB.1.5 (0.7%); XBB.1 (0.7%); CH.1.1 (0.7%); BQ.1.1 (0.6%); XBB.1.5.46 (0.6%)</t>
  </si>
  <si>
    <t>BA.2 (1.3%); BA.2.9 (1.1%); BA.2.3 (1%); BA.2.65 (1%); BA.2.10 (0.9%)</t>
  </si>
  <si>
    <t>B.1.617.2 (1.4%); AY.122 (1.3%); AY.4 (1.1%); AY.126 (1.1%); AY.9.2 (1.1%)</t>
  </si>
  <si>
    <t>B.1.1 (7.3%); B.1 (6.5%); B.1.258 (3.7%); B.1.177 (3.6%); B.1.160 (3.4%)</t>
  </si>
  <si>
    <t>JN.1 (2%); JN.1.7 (1.9%); KP.2 (1.7%); KP.3 (1.6%); JN.1.8 (1.5%)</t>
  </si>
  <si>
    <t>XBB.1.5 (0.9%); XBB.1.9.1 (0.7%); CH.1.1.1 (0.7%); XBB.1.5.7 (0.7%); XBB.1.5.18 (0.7%)</t>
  </si>
  <si>
    <t>BA.2 (1.3%); BA.2.3 (1.2%); BA.1.1 (1.2%); BA.2.10 (1.2%); BA.1 (1.2%)</t>
  </si>
  <si>
    <t>AY.4 (1.5%); B.1.617.2 (1.5%); AY.122 (1.5%); AY.5 (1.5%); AY.111 (1.5%)</t>
  </si>
  <si>
    <t>B.1.1 (1.2%); B.1 (1.2%); B.1.1.37 (1%); B.1.1.1 (1%); B.1.177 (0.9%)</t>
  </si>
  <si>
    <t>Top 5 Pango Lineages</t>
  </si>
  <si>
    <t>Number of Cases</t>
  </si>
  <si>
    <t>Year</t>
  </si>
  <si>
    <t>Top 5 Pango Lineages (with each lineage’s annual share)</t>
  </si>
  <si>
    <t>United  States</t>
  </si>
  <si>
    <t>B.1 (1.1%); B.1.1 (1.1%); B.1.595 (1.1%); B.1.369 (1.1%); B.1.243 (1%)</t>
  </si>
  <si>
    <t>B.1 (1.0%); B.1.617.2 (1%); AY.44 (0.9%); B (0.9%); AY.25 (0.9%)</t>
  </si>
  <si>
    <t>BA.2 (0.7%); BA.1.1 (0.6%); BA.2.12.1 (0.6%); BA.2.3 (0.6%); BA.2.9 (0.5%)</t>
  </si>
  <si>
    <t>XBB.1.5 (0.5%); XBB.1.5.10 (0.4%); XBB.1 (0.4%); XBB.1.5.15 (0.4%); XBB.1.5.49 (0.4%)</t>
  </si>
  <si>
    <t>JN.1 (1.1%); JN.1.8 (1.1%); JN.1.18 (1%); JN.1.7 (1%); JN.1.4 (1.0%)</t>
  </si>
  <si>
    <t>United Kingdom</t>
  </si>
  <si>
    <t>B.1.497 (37.3%); B.1 (9.8%); B.1.1 (8.0%); B.41 (2.9%); A (2.8%)</t>
  </si>
  <si>
    <t>AY.69 (11.6%); B.1.617.2 (11.6%); AY.122 (9.4%); AY.122.5 (8.0%); B.1.619.1 (6.4%)</t>
  </si>
  <si>
    <t>BA.5.2 (2.0%); BA.5.2.1 (2.0%); BA.5.1 (1.8%); BA.2.3 (1.8%); BA.2 (1.7%)</t>
  </si>
  <si>
    <t>XBB.1.5 (1.2%); XBB.1.16 (1.0%); EG.1.6 (1.0%); EG.1 (1.0%); XBB.1.9.1 (1.0%)</t>
  </si>
  <si>
    <t>JN.1.4 (4.2%); JN.1 (4.1%); JN.1.20 (3.9%); JN.1.4.5 (3.8%); JN.1.5 (3.4%)</t>
  </si>
  <si>
    <t xml:space="preserve">Oct 20 Verison </t>
  </si>
  <si>
    <t xml:space="preserve">Nov 17 Verison </t>
  </si>
  <si>
    <t>ensemble</t>
  </si>
  <si>
    <t>AY.103</t>
  </si>
  <si>
    <t>BD (BA.1.17.2)</t>
  </si>
  <si>
    <t>EG.5.1.1</t>
  </si>
  <si>
    <t>AY.75</t>
  </si>
  <si>
    <t>QB.1.177 (B.1.177)</t>
  </si>
  <si>
    <t>B.1.600</t>
  </si>
  <si>
    <t>BF.5</t>
  </si>
  <si>
    <t>AY.29.2</t>
  </si>
  <si>
    <t>BA.2.3.1 (BA.2.3.1)</t>
  </si>
  <si>
    <t>B.1.36.29</t>
  </si>
  <si>
    <t>BA.2.76 (BA.2.76)</t>
  </si>
  <si>
    <t>B.1.617.1</t>
  </si>
  <si>
    <t>XBB.2</t>
  </si>
  <si>
    <t>XBB.1</t>
  </si>
  <si>
    <t>XBB.2.3</t>
  </si>
  <si>
    <t>GY (XBB.1.16.2)</t>
  </si>
  <si>
    <t>FU1 (XBB.1.16.11)</t>
  </si>
  <si>
    <t>A</t>
  </si>
  <si>
    <t>B.1.329</t>
  </si>
  <si>
    <t>BE.1.1</t>
  </si>
  <si>
    <t>BF.7</t>
  </si>
  <si>
    <t>BC (BA.1.1.1)</t>
  </si>
  <si>
    <t>AY.7.1</t>
  </si>
  <si>
    <t>B.1.422</t>
  </si>
  <si>
    <t>QB.1.147 (B.1.147)</t>
  </si>
  <si>
    <t>B.1.128</t>
  </si>
  <si>
    <t>AE.8</t>
  </si>
  <si>
    <t>B.1.438.1</t>
  </si>
  <si>
    <t>P.1.14</t>
  </si>
  <si>
    <t>FE.1.2</t>
  </si>
  <si>
    <t>DL.1</t>
  </si>
  <si>
    <t>FE (XBB.1.18.1)</t>
  </si>
  <si>
    <t>JD.2</t>
  </si>
  <si>
    <t>GK.1</t>
  </si>
  <si>
    <t>GK.1.1</t>
  </si>
  <si>
    <t>C (B.1.1.1)</t>
  </si>
  <si>
    <t>AY.39.1.3</t>
  </si>
  <si>
    <t>AY.39.1.4</t>
  </si>
  <si>
    <t>BR.2.1</t>
  </si>
  <si>
    <t>XBC.1.6</t>
  </si>
  <si>
    <t>others (n = 68)</t>
  </si>
  <si>
    <t>others (n = 73)</t>
  </si>
  <si>
    <t>others (n = 46)</t>
  </si>
  <si>
    <t>others (n = 48)</t>
  </si>
  <si>
    <t>others (n = 52)</t>
  </si>
  <si>
    <t>others (n = 63)</t>
  </si>
  <si>
    <t>others (n =62)</t>
  </si>
  <si>
    <t>others (n = 62)</t>
  </si>
  <si>
    <t>others (n = 51)</t>
  </si>
  <si>
    <t>others (n = 55)</t>
  </si>
  <si>
    <t>others (n = 43)</t>
  </si>
  <si>
    <t>others (n = 56)</t>
  </si>
  <si>
    <t>others (n = 28)</t>
  </si>
  <si>
    <t>ranger</t>
  </si>
  <si>
    <t xml:space="preserve">Nov 22 Verison </t>
  </si>
  <si>
    <t>0.10–0.20</t>
  </si>
  <si>
    <t>&gt;0.20</t>
  </si>
  <si>
    <t>others (n = 47)</t>
  </si>
  <si>
    <t>others (n = 37)</t>
  </si>
  <si>
    <t>others (n = 49)</t>
  </si>
  <si>
    <t>others (n = 65)</t>
  </si>
  <si>
    <t>others (n = 67)</t>
  </si>
  <si>
    <t>others (n = 64)</t>
  </si>
  <si>
    <t>others (n = 58)</t>
  </si>
  <si>
    <t>others (n = 59)</t>
  </si>
  <si>
    <t>others (n = 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</si>
</sst>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yyyy\-mm\-dd;@"/>
    <numFmt numFmtId="166" formatCode="0.0%"/>
    <numFmt numFmtId="167" formatCode="_(* #,##0_);_(* \(#,##0\);_(* &quot;-&quot;??_);_(@_)"/>
  </numFmts>
  <fonts count="15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Aptos Narrow"/>
      <family val="2"/>
      <scheme val="minor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</cellStyleXfs>
  <cellXfs count="28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2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2" fillId="2" borderId="0" xfId="0" applyFont="1" applyFill="1"/>
    <xf numFmtId="0" fontId="0" fillId="2" borderId="2" xfId="0" applyFill="1" applyBorder="1"/>
    <xf numFmtId="0" fontId="3" fillId="2" borderId="3" xfId="0" applyFont="1" applyFill="1" applyBorder="1" applyAlignment="1">
      <alignment horizontal="right"/>
    </xf>
    <xf numFmtId="14" fontId="2" fillId="0" borderId="0" xfId="0" applyNumberFormat="1" applyFont="1"/>
    <xf numFmtId="0" fontId="7" fillId="2" borderId="0" xfId="0" applyFont="1" applyFill="1"/>
    <xf numFmtId="0" fontId="3" fillId="2" borderId="2" xfId="0" applyFont="1" applyFill="1" applyBorder="1"/>
    <xf numFmtId="0" fontId="4" fillId="2" borderId="0" xfId="0" applyFont="1" applyFill="1"/>
    <xf numFmtId="166" fontId="4" fillId="2" borderId="0" xfId="1" applyNumberFormat="1" applyFont="1" applyFill="1" applyBorder="1"/>
    <xf numFmtId="0" fontId="8" fillId="2" borderId="0" xfId="0" applyFont="1" applyFill="1"/>
    <xf numFmtId="165" fontId="8" fillId="2" borderId="0" xfId="0" applyNumberFormat="1" applyFont="1" applyFill="1" applyAlignment="1">
      <alignment horizontal="center"/>
    </xf>
    <xf numFmtId="0" fontId="4" fillId="2" borderId="5" xfId="0" applyFont="1" applyFill="1" applyBorder="1"/>
    <xf numFmtId="166" fontId="4" fillId="2" borderId="5" xfId="1" applyNumberFormat="1" applyFont="1" applyFill="1" applyBorder="1" applyAlignment="1">
      <alignment horizontal="right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/>
    <xf numFmtId="166" fontId="4" fillId="2" borderId="6" xfId="1" applyNumberFormat="1" applyFont="1" applyFill="1" applyBorder="1" applyAlignment="1">
      <alignment horizontal="right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4" xfId="0" applyFont="1" applyFill="1" applyBorder="1"/>
    <xf numFmtId="0" fontId="10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2" borderId="2" xfId="0" applyFont="1" applyFill="1" applyBorder="1"/>
    <xf numFmtId="0" fontId="8" fillId="0" borderId="0" xfId="0" applyFont="1"/>
    <xf numFmtId="165" fontId="3" fillId="2" borderId="2" xfId="0" applyNumberFormat="1" applyFont="1" applyFill="1" applyBorder="1"/>
    <xf numFmtId="165" fontId="10" fillId="2" borderId="4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/>
    <xf numFmtId="165" fontId="0" fillId="0" borderId="0" xfId="0" applyNumberFormat="1"/>
    <xf numFmtId="165" fontId="8" fillId="0" borderId="0" xfId="0" applyNumberFormat="1" applyFont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3" fillId="2" borderId="2" xfId="1" applyNumberFormat="1" applyFont="1" applyFill="1" applyBorder="1"/>
    <xf numFmtId="166" fontId="10" fillId="2" borderId="4" xfId="1" applyNumberFormat="1" applyFont="1" applyFill="1" applyBorder="1" applyAlignment="1">
      <alignment horizontal="right"/>
    </xf>
    <xf numFmtId="166" fontId="3" fillId="2" borderId="0" xfId="1" applyNumberFormat="1" applyFont="1" applyFill="1"/>
    <xf numFmtId="166" fontId="8" fillId="0" borderId="0" xfId="1" applyNumberFormat="1" applyFont="1"/>
    <xf numFmtId="166" fontId="0" fillId="0" borderId="0" xfId="1" applyNumberFormat="1" applyFont="1"/>
    <xf numFmtId="165" fontId="8" fillId="2" borderId="0" xfId="0" applyNumberFormat="1" applyFont="1" applyFill="1"/>
    <xf numFmtId="0" fontId="8" fillId="2" borderId="0" xfId="0" applyFont="1" applyFill="1" applyAlignment="1">
      <alignment horizontal="center"/>
    </xf>
    <xf numFmtId="166" fontId="8" fillId="2" borderId="0" xfId="1" applyNumberFormat="1" applyFont="1" applyFill="1"/>
    <xf numFmtId="166" fontId="4" fillId="2" borderId="0" xfId="1" applyNumberFormat="1" applyFont="1" applyFill="1"/>
    <xf numFmtId="14" fontId="4" fillId="2" borderId="0" xfId="0" applyNumberFormat="1" applyFont="1" applyFill="1"/>
    <xf numFmtId="166" fontId="9" fillId="2" borderId="0" xfId="1" applyNumberFormat="1" applyFont="1" applyFill="1"/>
    <xf numFmtId="0" fontId="4" fillId="2" borderId="7" xfId="0" applyFont="1" applyFill="1" applyBorder="1"/>
    <xf numFmtId="0" fontId="4" fillId="2" borderId="7" xfId="0" applyFont="1" applyFill="1" applyBorder="1" applyAlignment="1">
      <alignment horizontal="center"/>
    </xf>
    <xf numFmtId="166" fontId="4" fillId="2" borderId="7" xfId="1" applyNumberFormat="1" applyFont="1" applyFill="1" applyBorder="1"/>
    <xf numFmtId="165" fontId="8" fillId="2" borderId="0" xfId="0" applyNumberFormat="1" applyFont="1" applyFill="1" applyAlignment="1">
      <alignment horizontal="right"/>
    </xf>
    <xf numFmtId="165" fontId="9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  <xf numFmtId="165" fontId="4" fillId="2" borderId="6" xfId="0" applyNumberFormat="1" applyFont="1" applyFill="1" applyBorder="1" applyAlignment="1">
      <alignment horizontal="right" vertical="center"/>
    </xf>
    <xf numFmtId="165" fontId="4" fillId="2" borderId="7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10" fillId="2" borderId="8" xfId="0" applyFont="1" applyFill="1" applyBorder="1"/>
    <xf numFmtId="0" fontId="10" fillId="2" borderId="8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166" fontId="8" fillId="2" borderId="0" xfId="1" applyNumberFormat="1" applyFont="1" applyFill="1" applyBorder="1" applyAlignment="1">
      <alignment horizontal="right"/>
    </xf>
    <xf numFmtId="0" fontId="8" fillId="2" borderId="6" xfId="0" applyFont="1" applyFill="1" applyBorder="1"/>
    <xf numFmtId="165" fontId="8" fillId="2" borderId="6" xfId="0" applyNumberFormat="1" applyFont="1" applyFill="1" applyBorder="1" applyAlignment="1">
      <alignment horizontal="center" vertical="center"/>
    </xf>
    <xf numFmtId="166" fontId="8" fillId="2" borderId="6" xfId="1" applyNumberFormat="1" applyFont="1" applyFill="1" applyBorder="1" applyAlignment="1">
      <alignment horizontal="right"/>
    </xf>
    <xf numFmtId="166" fontId="8" fillId="2" borderId="0" xfId="1" applyNumberFormat="1" applyFont="1" applyFill="1" applyBorder="1"/>
    <xf numFmtId="0" fontId="8" fillId="2" borderId="5" xfId="0" applyFont="1" applyFill="1" applyBorder="1"/>
    <xf numFmtId="165" fontId="8" fillId="2" borderId="5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166" fontId="8" fillId="2" borderId="5" xfId="1" applyNumberFormat="1" applyFont="1" applyFill="1" applyBorder="1" applyAlignment="1">
      <alignment horizontal="right"/>
    </xf>
    <xf numFmtId="2" fontId="8" fillId="2" borderId="0" xfId="0" applyNumberFormat="1" applyFont="1" applyFill="1" applyAlignment="1">
      <alignment horizontal="center" vertical="center"/>
    </xf>
    <xf numFmtId="2" fontId="8" fillId="2" borderId="6" xfId="0" applyNumberFormat="1" applyFont="1" applyFill="1" applyBorder="1" applyAlignment="1">
      <alignment horizontal="center" vertical="center"/>
    </xf>
    <xf numFmtId="2" fontId="8" fillId="2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166" fontId="8" fillId="3" borderId="0" xfId="1" applyNumberFormat="1" applyFont="1" applyFill="1" applyBorder="1" applyAlignment="1">
      <alignment horizontal="right"/>
    </xf>
    <xf numFmtId="165" fontId="8" fillId="3" borderId="0" xfId="0" applyNumberFormat="1" applyFont="1" applyFill="1" applyAlignment="1">
      <alignment horizontal="center"/>
    </xf>
    <xf numFmtId="166" fontId="8" fillId="3" borderId="0" xfId="1" applyNumberFormat="1" applyFont="1" applyFill="1" applyBorder="1"/>
    <xf numFmtId="0" fontId="8" fillId="3" borderId="0" xfId="0" applyFont="1" applyFill="1" applyAlignment="1">
      <alignment horizontal="center"/>
    </xf>
    <xf numFmtId="166" fontId="8" fillId="2" borderId="0" xfId="0" applyNumberFormat="1" applyFont="1" applyFill="1" applyAlignment="1">
      <alignment horizontal="center" vertical="center"/>
    </xf>
    <xf numFmtId="166" fontId="8" fillId="2" borderId="6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2" fontId="8" fillId="3" borderId="0" xfId="0" applyNumberFormat="1" applyFont="1" applyFill="1" applyAlignment="1">
      <alignment horizontal="center" vertical="center"/>
    </xf>
    <xf numFmtId="166" fontId="8" fillId="3" borderId="0" xfId="0" applyNumberFormat="1" applyFont="1" applyFill="1" applyAlignment="1">
      <alignment horizontal="center" vertical="center"/>
    </xf>
    <xf numFmtId="0" fontId="8" fillId="2" borderId="7" xfId="0" applyFont="1" applyFill="1" applyBorder="1"/>
    <xf numFmtId="165" fontId="8" fillId="2" borderId="7" xfId="0" applyNumberFormat="1" applyFont="1" applyFill="1" applyBorder="1" applyAlignment="1">
      <alignment horizontal="center" vertical="center"/>
    </xf>
    <xf numFmtId="166" fontId="8" fillId="2" borderId="7" xfId="1" applyNumberFormat="1" applyFont="1" applyFill="1" applyBorder="1" applyAlignment="1">
      <alignment horizontal="right"/>
    </xf>
    <xf numFmtId="2" fontId="8" fillId="2" borderId="7" xfId="0" applyNumberFormat="1" applyFont="1" applyFill="1" applyBorder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0" fontId="8" fillId="3" borderId="7" xfId="0" applyFont="1" applyFill="1" applyBorder="1"/>
    <xf numFmtId="165" fontId="8" fillId="3" borderId="7" xfId="0" applyNumberFormat="1" applyFont="1" applyFill="1" applyBorder="1" applyAlignment="1">
      <alignment horizontal="center"/>
    </xf>
    <xf numFmtId="166" fontId="8" fillId="3" borderId="7" xfId="1" applyNumberFormat="1" applyFont="1" applyFill="1" applyBorder="1"/>
    <xf numFmtId="2" fontId="8" fillId="3" borderId="7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/>
    </xf>
    <xf numFmtId="166" fontId="8" fillId="3" borderId="7" xfId="0" applyNumberFormat="1" applyFont="1" applyFill="1" applyBorder="1" applyAlignment="1">
      <alignment horizontal="center" vertical="center"/>
    </xf>
    <xf numFmtId="2" fontId="4" fillId="2" borderId="0" xfId="0" applyNumberFormat="1" applyFont="1" applyFill="1"/>
    <xf numFmtId="2" fontId="5" fillId="2" borderId="2" xfId="0" applyNumberFormat="1" applyFont="1" applyFill="1" applyBorder="1"/>
    <xf numFmtId="166" fontId="8" fillId="2" borderId="7" xfId="1" applyNumberFormat="1" applyFont="1" applyFill="1" applyBorder="1" applyAlignment="1">
      <alignment horizontal="center" vertical="center"/>
    </xf>
    <xf numFmtId="166" fontId="8" fillId="2" borderId="0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right" vertical="center"/>
    </xf>
    <xf numFmtId="166" fontId="4" fillId="2" borderId="0" xfId="1" applyNumberFormat="1" applyFont="1" applyFill="1" applyBorder="1" applyAlignment="1">
      <alignment horizontal="right"/>
    </xf>
    <xf numFmtId="0" fontId="8" fillId="2" borderId="0" xfId="0" applyFont="1" applyFill="1" applyAlignment="1">
      <alignment vertical="center"/>
    </xf>
    <xf numFmtId="0" fontId="8" fillId="2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166" fontId="8" fillId="2" borderId="1" xfId="1" applyNumberFormat="1" applyFont="1" applyFill="1" applyBorder="1" applyAlignment="1">
      <alignment horizontal="right"/>
    </xf>
    <xf numFmtId="2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0" fontId="8" fillId="2" borderId="9" xfId="0" applyFont="1" applyFill="1" applyBorder="1"/>
    <xf numFmtId="165" fontId="8" fillId="2" borderId="9" xfId="0" applyNumberFormat="1" applyFont="1" applyFill="1" applyBorder="1" applyAlignment="1">
      <alignment horizontal="center"/>
    </xf>
    <xf numFmtId="166" fontId="8" fillId="2" borderId="9" xfId="1" applyNumberFormat="1" applyFont="1" applyFill="1" applyBorder="1"/>
    <xf numFmtId="0" fontId="8" fillId="2" borderId="9" xfId="0" applyFont="1" applyFill="1" applyBorder="1" applyAlignment="1">
      <alignment horizontal="center"/>
    </xf>
    <xf numFmtId="166" fontId="8" fillId="2" borderId="9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6" fontId="8" fillId="2" borderId="0" xfId="1" applyNumberFormat="1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12" fillId="2" borderId="10" xfId="0" applyFont="1" applyFill="1" applyBorder="1" applyAlignment="1">
      <alignment horizontal="center"/>
    </xf>
    <xf numFmtId="0" fontId="12" fillId="2" borderId="10" xfId="0" applyFont="1" applyFill="1" applyBorder="1"/>
    <xf numFmtId="165" fontId="12" fillId="2" borderId="10" xfId="0" applyNumberFormat="1" applyFont="1" applyFill="1" applyBorder="1" applyAlignment="1">
      <alignment horizontal="center" vertical="center"/>
    </xf>
    <xf numFmtId="166" fontId="12" fillId="2" borderId="10" xfId="1" applyNumberFormat="1" applyFont="1" applyFill="1" applyBorder="1" applyAlignment="1">
      <alignment horizontal="right"/>
    </xf>
    <xf numFmtId="0" fontId="12" fillId="2" borderId="10" xfId="0" applyFont="1" applyFill="1" applyBorder="1" applyAlignment="1">
      <alignment horizontal="center" vertical="center"/>
    </xf>
    <xf numFmtId="0" fontId="4" fillId="2" borderId="9" xfId="0" applyFont="1" applyFill="1" applyBorder="1"/>
    <xf numFmtId="166" fontId="8" fillId="2" borderId="9" xfId="1" applyNumberFormat="1" applyFont="1" applyFill="1" applyBorder="1" applyAlignment="1">
      <alignment vertical="center"/>
    </xf>
    <xf numFmtId="0" fontId="4" fillId="2" borderId="1" xfId="0" applyFont="1" applyFill="1" applyBorder="1"/>
    <xf numFmtId="165" fontId="4" fillId="2" borderId="1" xfId="0" applyNumberFormat="1" applyFont="1" applyFill="1" applyBorder="1" applyAlignment="1">
      <alignment horizontal="right" vertical="center"/>
    </xf>
    <xf numFmtId="166" fontId="8" fillId="2" borderId="1" xfId="1" applyNumberFormat="1" applyFont="1" applyFill="1" applyBorder="1" applyAlignment="1">
      <alignment vertical="center"/>
    </xf>
    <xf numFmtId="166" fontId="4" fillId="2" borderId="1" xfId="1" applyNumberFormat="1" applyFont="1" applyFill="1" applyBorder="1" applyAlignment="1">
      <alignment horizontal="right"/>
    </xf>
    <xf numFmtId="0" fontId="4" fillId="2" borderId="2" xfId="0" applyFont="1" applyFill="1" applyBorder="1"/>
    <xf numFmtId="165" fontId="4" fillId="2" borderId="2" xfId="0" applyNumberFormat="1" applyFont="1" applyFill="1" applyBorder="1" applyAlignment="1">
      <alignment horizontal="right" vertical="center"/>
    </xf>
    <xf numFmtId="165" fontId="4" fillId="2" borderId="9" xfId="0" applyNumberFormat="1" applyFont="1" applyFill="1" applyBorder="1"/>
    <xf numFmtId="165" fontId="4" fillId="2" borderId="0" xfId="0" applyNumberFormat="1" applyFont="1" applyFill="1"/>
    <xf numFmtId="166" fontId="4" fillId="2" borderId="9" xfId="1" applyNumberFormat="1" applyFont="1" applyFill="1" applyBorder="1"/>
    <xf numFmtId="0" fontId="4" fillId="2" borderId="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6" fontId="8" fillId="2" borderId="9" xfId="1" applyNumberFormat="1" applyFont="1" applyFill="1" applyBorder="1" applyAlignment="1">
      <alignment horizontal="center" vertical="center"/>
    </xf>
    <xf numFmtId="166" fontId="8" fillId="2" borderId="1" xfId="1" applyNumberFormat="1" applyFont="1" applyFill="1" applyBorder="1" applyAlignment="1">
      <alignment horizontal="center" vertical="center"/>
    </xf>
    <xf numFmtId="0" fontId="10" fillId="2" borderId="10" xfId="0" applyFont="1" applyFill="1" applyBorder="1"/>
    <xf numFmtId="0" fontId="10" fillId="2" borderId="10" xfId="0" applyFont="1" applyFill="1" applyBorder="1" applyAlignment="1">
      <alignment horizontal="right"/>
    </xf>
    <xf numFmtId="0" fontId="13" fillId="0" borderId="0" xfId="2"/>
    <xf numFmtId="0" fontId="13" fillId="2" borderId="0" xfId="2" applyFill="1"/>
    <xf numFmtId="0" fontId="2" fillId="0" borderId="0" xfId="2" applyFont="1"/>
    <xf numFmtId="0" fontId="1" fillId="0" borderId="0" xfId="2" applyFont="1"/>
    <xf numFmtId="0" fontId="13" fillId="2" borderId="2" xfId="2" applyFill="1" applyBorder="1"/>
    <xf numFmtId="0" fontId="4" fillId="2" borderId="2" xfId="2" applyFont="1" applyFill="1" applyBorder="1"/>
    <xf numFmtId="0" fontId="4" fillId="2" borderId="0" xfId="2" applyFont="1" applyFill="1"/>
    <xf numFmtId="0" fontId="4" fillId="2" borderId="9" xfId="2" applyFont="1" applyFill="1" applyBorder="1"/>
    <xf numFmtId="0" fontId="4" fillId="2" borderId="1" xfId="2" applyFont="1" applyFill="1" applyBorder="1"/>
    <xf numFmtId="167" fontId="4" fillId="2" borderId="1" xfId="3" applyNumberFormat="1" applyFont="1" applyFill="1" applyBorder="1"/>
    <xf numFmtId="0" fontId="1" fillId="2" borderId="0" xfId="2" applyFont="1" applyFill="1"/>
    <xf numFmtId="167" fontId="4" fillId="2" borderId="0" xfId="3" applyNumberFormat="1" applyFont="1" applyFill="1" applyBorder="1"/>
    <xf numFmtId="167" fontId="4" fillId="2" borderId="9" xfId="3" applyNumberFormat="1" applyFont="1" applyFill="1" applyBorder="1"/>
    <xf numFmtId="0" fontId="4" fillId="2" borderId="10" xfId="2" applyFont="1" applyFill="1" applyBorder="1" applyAlignment="1">
      <alignment vertical="center"/>
    </xf>
    <xf numFmtId="0" fontId="4" fillId="2" borderId="10" xfId="2" applyFont="1" applyFill="1" applyBorder="1" applyAlignment="1">
      <alignment horizontal="right" vertical="center"/>
    </xf>
    <xf numFmtId="0" fontId="4" fillId="2" borderId="10" xfId="2" applyFont="1" applyFill="1" applyBorder="1" applyAlignment="1">
      <alignment horizontal="center" vertical="center"/>
    </xf>
    <xf numFmtId="0" fontId="4" fillId="2" borderId="10" xfId="2" applyFont="1" applyFill="1" applyBorder="1" applyAlignment="1">
      <alignment horizontal="left" vertical="center"/>
    </xf>
    <xf numFmtId="0" fontId="14" fillId="2" borderId="2" xfId="2" applyFont="1" applyFill="1" applyBorder="1" applyAlignment="1">
      <alignment vertical="center"/>
    </xf>
    <xf numFmtId="167" fontId="14" fillId="2" borderId="2" xfId="3" applyNumberFormat="1" applyFont="1" applyFill="1" applyBorder="1" applyAlignment="1">
      <alignment vertical="center"/>
    </xf>
    <xf numFmtId="0" fontId="14" fillId="2" borderId="2" xfId="2" applyFont="1" applyFill="1" applyBorder="1" applyAlignment="1">
      <alignment horizontal="center"/>
    </xf>
    <xf numFmtId="0" fontId="14" fillId="2" borderId="0" xfId="2" applyFont="1" applyFill="1" applyAlignment="1">
      <alignment vertical="center"/>
    </xf>
    <xf numFmtId="167" fontId="14" fillId="2" borderId="0" xfId="3" applyNumberFormat="1" applyFont="1" applyFill="1" applyBorder="1" applyAlignment="1">
      <alignment vertical="center"/>
    </xf>
    <xf numFmtId="0" fontId="14" fillId="2" borderId="0" xfId="2" applyFont="1" applyFill="1" applyAlignment="1">
      <alignment horizontal="center"/>
    </xf>
    <xf numFmtId="0" fontId="14" fillId="2" borderId="9" xfId="2" applyFont="1" applyFill="1" applyBorder="1" applyAlignment="1">
      <alignment vertical="center"/>
    </xf>
    <xf numFmtId="167" fontId="14" fillId="2" borderId="9" xfId="3" applyNumberFormat="1" applyFont="1" applyFill="1" applyBorder="1" applyAlignment="1">
      <alignment vertical="center"/>
    </xf>
    <xf numFmtId="0" fontId="14" fillId="2" borderId="9" xfId="2" applyFont="1" applyFill="1" applyBorder="1" applyAlignment="1">
      <alignment horizontal="center"/>
    </xf>
    <xf numFmtId="0" fontId="14" fillId="2" borderId="1" xfId="2" applyFont="1" applyFill="1" applyBorder="1" applyAlignment="1">
      <alignment vertical="center"/>
    </xf>
    <xf numFmtId="167" fontId="14" fillId="2" borderId="1" xfId="3" applyNumberFormat="1" applyFont="1" applyFill="1" applyBorder="1" applyAlignment="1">
      <alignment vertical="center"/>
    </xf>
    <xf numFmtId="0" fontId="14" fillId="2" borderId="1" xfId="2" applyFont="1" applyFill="1" applyBorder="1" applyAlignment="1">
      <alignment horizontal="center"/>
    </xf>
    <xf numFmtId="0" fontId="13" fillId="2" borderId="0" xfId="2" applyFill="1" applyAlignment="1">
      <alignment vertical="center"/>
    </xf>
    <xf numFmtId="167" fontId="4" fillId="2" borderId="9" xfId="2" applyNumberFormat="1" applyFont="1" applyFill="1" applyBorder="1"/>
    <xf numFmtId="167" fontId="4" fillId="2" borderId="0" xfId="2" applyNumberFormat="1" applyFont="1" applyFill="1"/>
    <xf numFmtId="167" fontId="4" fillId="2" borderId="1" xfId="2" applyNumberFormat="1" applyFont="1" applyFill="1" applyBorder="1"/>
    <xf numFmtId="167" fontId="4" fillId="2" borderId="2" xfId="2" applyNumberFormat="1" applyFont="1" applyFill="1" applyBorder="1"/>
    <xf numFmtId="0" fontId="3" fillId="2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6" fontId="8" fillId="2" borderId="2" xfId="1" applyNumberFormat="1" applyFont="1" applyFill="1" applyBorder="1" applyAlignment="1">
      <alignment horizontal="right"/>
    </xf>
    <xf numFmtId="2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6" fontId="8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2" borderId="10" xfId="0" applyFont="1" applyFill="1" applyBorder="1" applyAlignment="1">
      <alignment horizontal="center"/>
    </xf>
    <xf numFmtId="166" fontId="10" fillId="2" borderId="10" xfId="1" applyNumberFormat="1" applyFont="1" applyFill="1" applyBorder="1" applyAlignment="1">
      <alignment horizontal="right"/>
    </xf>
    <xf numFmtId="0" fontId="10" fillId="2" borderId="10" xfId="0" applyFont="1" applyFill="1" applyBorder="1" applyAlignment="1">
      <alignment horizontal="center" vertical="center"/>
    </xf>
    <xf numFmtId="165" fontId="8" fillId="2" borderId="9" xfId="0" applyNumberFormat="1" applyFont="1" applyFill="1" applyBorder="1" applyAlignment="1">
      <alignment horizontal="left"/>
    </xf>
    <xf numFmtId="165" fontId="8" fillId="2" borderId="0" xfId="0" applyNumberFormat="1" applyFont="1" applyFill="1" applyAlignment="1">
      <alignment horizontal="left"/>
    </xf>
    <xf numFmtId="165" fontId="8" fillId="2" borderId="0" xfId="0" applyNumberFormat="1" applyFont="1" applyFill="1" applyAlignment="1">
      <alignment horizontal="left" vertical="center"/>
    </xf>
    <xf numFmtId="165" fontId="3" fillId="2" borderId="2" xfId="0" applyNumberFormat="1" applyFont="1" applyFill="1" applyBorder="1" applyAlignment="1">
      <alignment horizontal="left"/>
    </xf>
    <xf numFmtId="165" fontId="10" fillId="2" borderId="10" xfId="0" applyNumberFormat="1" applyFont="1" applyFill="1" applyBorder="1" applyAlignment="1">
      <alignment horizontal="left" vertical="center"/>
    </xf>
    <xf numFmtId="165" fontId="8" fillId="2" borderId="1" xfId="0" applyNumberFormat="1" applyFont="1" applyFill="1" applyBorder="1" applyAlignment="1">
      <alignment horizontal="left"/>
    </xf>
    <xf numFmtId="165" fontId="4" fillId="2" borderId="0" xfId="0" applyNumberFormat="1" applyFont="1" applyFill="1" applyAlignment="1">
      <alignment horizontal="left"/>
    </xf>
    <xf numFmtId="166" fontId="3" fillId="2" borderId="2" xfId="1" applyNumberFormat="1" applyFont="1" applyFill="1" applyBorder="1" applyAlignment="1">
      <alignment horizontal="right"/>
    </xf>
    <xf numFmtId="166" fontId="8" fillId="2" borderId="0" xfId="1" applyNumberFormat="1" applyFont="1" applyFill="1" applyBorder="1" applyAlignment="1">
      <alignment horizontal="right" vertical="center"/>
    </xf>
    <xf numFmtId="166" fontId="8" fillId="2" borderId="9" xfId="1" applyNumberFormat="1" applyFont="1" applyFill="1" applyBorder="1" applyAlignment="1">
      <alignment horizontal="right"/>
    </xf>
    <xf numFmtId="166" fontId="8" fillId="2" borderId="9" xfId="1" applyNumberFormat="1" applyFont="1" applyFill="1" applyBorder="1" applyAlignment="1">
      <alignment horizontal="right" vertical="center"/>
    </xf>
    <xf numFmtId="166" fontId="8" fillId="2" borderId="0" xfId="1" applyNumberFormat="1" applyFont="1" applyFill="1" applyAlignment="1">
      <alignment horizontal="right"/>
    </xf>
    <xf numFmtId="165" fontId="0" fillId="2" borderId="0" xfId="0" applyNumberFormat="1" applyFill="1" applyAlignment="1">
      <alignment horizontal="left"/>
    </xf>
    <xf numFmtId="166" fontId="0" fillId="2" borderId="0" xfId="1" applyNumberFormat="1" applyFont="1" applyFill="1" applyAlignment="1">
      <alignment horizontal="right"/>
    </xf>
    <xf numFmtId="165" fontId="4" fillId="2" borderId="9" xfId="0" applyNumberFormat="1" applyFont="1" applyFill="1" applyBorder="1" applyAlignment="1">
      <alignment horizontal="left"/>
    </xf>
    <xf numFmtId="165" fontId="8" fillId="2" borderId="2" xfId="0" applyNumberFormat="1" applyFont="1" applyFill="1" applyBorder="1" applyAlignment="1">
      <alignment horizontal="left"/>
    </xf>
    <xf numFmtId="166" fontId="4" fillId="2" borderId="0" xfId="1" applyNumberFormat="1" applyFont="1" applyFill="1" applyAlignment="1">
      <alignment horizontal="center"/>
    </xf>
    <xf numFmtId="166" fontId="8" fillId="2" borderId="1" xfId="1" applyNumberFormat="1" applyFont="1" applyFill="1" applyBorder="1" applyAlignment="1">
      <alignment horizontal="center"/>
    </xf>
    <xf numFmtId="166" fontId="4" fillId="2" borderId="9" xfId="1" applyNumberFormat="1" applyFont="1" applyFill="1" applyBorder="1" applyAlignment="1">
      <alignment horizontal="center"/>
    </xf>
    <xf numFmtId="166" fontId="4" fillId="2" borderId="0" xfId="1" applyNumberFormat="1" applyFont="1" applyFill="1" applyBorder="1" applyAlignment="1">
      <alignment horizontal="center"/>
    </xf>
    <xf numFmtId="166" fontId="8" fillId="2" borderId="2" xfId="1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4" fillId="2" borderId="9" xfId="2" applyFont="1" applyFill="1" applyBorder="1" applyAlignment="1">
      <alignment horizontal="left" vertical="center" wrapText="1"/>
    </xf>
    <xf numFmtId="0" fontId="14" fillId="2" borderId="0" xfId="2" applyFont="1" applyFill="1" applyAlignment="1">
      <alignment horizontal="left" vertical="center" wrapText="1"/>
    </xf>
    <xf numFmtId="0" fontId="14" fillId="2" borderId="1" xfId="2" applyFont="1" applyFill="1" applyBorder="1" applyAlignment="1">
      <alignment horizontal="left" vertical="center" wrapText="1"/>
    </xf>
    <xf numFmtId="0" fontId="4" fillId="2" borderId="9" xfId="2" applyFont="1" applyFill="1" applyBorder="1" applyAlignment="1">
      <alignment horizontal="left" vertical="center" wrapText="1"/>
    </xf>
    <xf numFmtId="0" fontId="4" fillId="2" borderId="0" xfId="2" applyFont="1" applyFill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 wrapText="1"/>
    </xf>
    <xf numFmtId="0" fontId="14" fillId="2" borderId="2" xfId="2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66" fontId="8" fillId="2" borderId="7" xfId="1" applyNumberFormat="1" applyFont="1" applyFill="1" applyBorder="1" applyAlignment="1">
      <alignment horizontal="center" vertical="center"/>
    </xf>
    <xf numFmtId="166" fontId="8" fillId="2" borderId="0" xfId="1" applyNumberFormat="1" applyFont="1" applyFill="1" applyAlignment="1">
      <alignment horizontal="center" vertical="center"/>
    </xf>
    <xf numFmtId="166" fontId="8" fillId="2" borderId="6" xfId="1" applyNumberFormat="1" applyFont="1" applyFill="1" applyBorder="1" applyAlignment="1">
      <alignment horizontal="center" vertical="center"/>
    </xf>
    <xf numFmtId="166" fontId="8" fillId="2" borderId="0" xfId="1" applyNumberFormat="1" applyFont="1" applyFill="1" applyBorder="1" applyAlignment="1">
      <alignment horizontal="center" vertical="center"/>
    </xf>
    <xf numFmtId="166" fontId="8" fillId="2" borderId="5" xfId="1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2" fillId="2" borderId="0" xfId="0" applyFont="1" applyFill="1" applyBorder="1"/>
    <xf numFmtId="0" fontId="0" fillId="2" borderId="0" xfId="0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/>
    </xf>
    <xf numFmtId="2" fontId="4" fillId="2" borderId="0" xfId="0" applyNumberFormat="1" applyFont="1" applyFill="1" applyBorder="1"/>
    <xf numFmtId="2" fontId="5" fillId="2" borderId="0" xfId="0" applyNumberFormat="1" applyFont="1" applyFill="1" applyBorder="1"/>
    <xf numFmtId="0" fontId="0" fillId="0" borderId="0" xfId="0" applyBorder="1"/>
    <xf numFmtId="165" fontId="3" fillId="2" borderId="0" xfId="0" applyNumberFormat="1" applyFont="1" applyFill="1" applyAlignment="1">
      <alignment horizontal="left" vertical="center"/>
    </xf>
    <xf numFmtId="166" fontId="3" fillId="2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10" fillId="2" borderId="10" xfId="1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65" fontId="3" fillId="2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165" fontId="3" fillId="2" borderId="1" xfId="0" applyNumberFormat="1" applyFont="1" applyFill="1" applyBorder="1" applyAlignment="1">
      <alignment horizontal="left"/>
    </xf>
    <xf numFmtId="166" fontId="3" fillId="2" borderId="1" xfId="1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left" vertical="center"/>
    </xf>
    <xf numFmtId="165" fontId="3" fillId="2" borderId="9" xfId="0" applyNumberFormat="1" applyFont="1" applyFill="1" applyBorder="1" applyAlignment="1">
      <alignment horizontal="left" vertical="center"/>
    </xf>
    <xf numFmtId="166" fontId="3" fillId="2" borderId="9" xfId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166" fontId="3" fillId="2" borderId="2" xfId="1" applyNumberFormat="1" applyFont="1" applyFill="1" applyBorder="1" applyAlignment="1">
      <alignment horizontal="center"/>
    </xf>
  </cellXfs>
  <cellStyles count="4">
    <cellStyle name="Comma 2" xfId="3" xr:uid="{288FB48C-FDF3-D642-9448-94E223301E30}"/>
    <cellStyle name="Normal" xfId="0" builtinId="0"/>
    <cellStyle name="Normal 2" xfId="2" xr:uid="{00510FAC-A8E2-AF4B-A4AA-78D7B83E15A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9EEE-AB4E-4640-ABB3-C7C04CE40832}">
  <dimension ref="A1:S272"/>
  <sheetViews>
    <sheetView tabSelected="1" topLeftCell="A234" zoomScaleNormal="100" workbookViewId="0">
      <selection activeCell="N247" sqref="N247:O247"/>
    </sheetView>
  </sheetViews>
  <sheetFormatPr baseColWidth="10" defaultRowHeight="16" x14ac:dyDescent="0.2"/>
  <cols>
    <col min="1" max="1" width="10.83203125" style="193"/>
    <col min="2" max="2" width="14.6640625" style="271" bestFit="1" customWidth="1"/>
    <col min="3" max="3" width="16.33203125" style="268" bestFit="1" customWidth="1"/>
    <col min="4" max="5" width="10.5" style="262" bestFit="1" customWidth="1"/>
    <col min="6" max="8" width="10.83203125" style="263"/>
    <col min="9" max="13" width="10.83203125" style="193"/>
    <col min="14" max="16384" width="10.83203125" style="264"/>
  </cols>
  <sheetData>
    <row r="1" spans="2:11" ht="17" thickBot="1" x14ac:dyDescent="0.25"/>
    <row r="2" spans="2:11" x14ac:dyDescent="0.2">
      <c r="B2" s="196" t="s">
        <v>39</v>
      </c>
      <c r="C2" s="269" t="s">
        <v>40</v>
      </c>
      <c r="D2" s="201" t="s">
        <v>46</v>
      </c>
      <c r="E2" s="201" t="s">
        <v>56</v>
      </c>
      <c r="F2" s="265" t="s">
        <v>54</v>
      </c>
      <c r="G2" s="265" t="s">
        <v>53</v>
      </c>
      <c r="H2" s="265" t="s">
        <v>153</v>
      </c>
      <c r="I2" s="196" t="s">
        <v>51</v>
      </c>
      <c r="J2" s="196" t="s">
        <v>52</v>
      </c>
      <c r="K2" s="196" t="s">
        <v>50</v>
      </c>
    </row>
    <row r="3" spans="2:11" x14ac:dyDescent="0.2">
      <c r="B3" s="276" t="s">
        <v>8</v>
      </c>
      <c r="C3" s="270" t="s">
        <v>16</v>
      </c>
      <c r="D3" s="272">
        <v>43899</v>
      </c>
      <c r="E3" s="272">
        <v>45124</v>
      </c>
      <c r="F3" s="267" t="s">
        <v>420</v>
      </c>
      <c r="G3" s="267" t="s">
        <v>421</v>
      </c>
      <c r="H3" s="267" t="str">
        <f>IF(F3=G3,"T","F")</f>
        <v>F</v>
      </c>
      <c r="I3" s="266" t="s">
        <v>45</v>
      </c>
      <c r="J3" s="266" t="s">
        <v>43</v>
      </c>
      <c r="K3" s="266" t="str">
        <f>IF(I3=J3,"T","F")</f>
        <v>F</v>
      </c>
    </row>
    <row r="4" spans="2:11" x14ac:dyDescent="0.2">
      <c r="B4" s="257"/>
      <c r="C4" s="270" t="s">
        <v>36</v>
      </c>
      <c r="D4" s="272">
        <v>43902</v>
      </c>
      <c r="E4" s="272">
        <v>45355</v>
      </c>
      <c r="F4" s="267" t="s">
        <v>420</v>
      </c>
      <c r="G4" s="267" t="s">
        <v>421</v>
      </c>
      <c r="H4" s="267" t="str">
        <f t="shared" ref="H4:H72" si="0">IF(F4=G4,"T","F")</f>
        <v>F</v>
      </c>
      <c r="I4" s="266" t="s">
        <v>45</v>
      </c>
      <c r="J4" s="266" t="s">
        <v>43</v>
      </c>
      <c r="K4" s="266" t="str">
        <f t="shared" ref="K4:K72" si="1">IF(I4=J4,"T","F")</f>
        <v>F</v>
      </c>
    </row>
    <row r="5" spans="2:11" x14ac:dyDescent="0.2">
      <c r="B5" s="257"/>
      <c r="C5" s="270" t="s">
        <v>20</v>
      </c>
      <c r="D5" s="272">
        <v>43924</v>
      </c>
      <c r="E5" s="272">
        <v>45526</v>
      </c>
      <c r="F5" s="267" t="s">
        <v>421</v>
      </c>
      <c r="G5" s="267" t="s">
        <v>421</v>
      </c>
      <c r="H5" s="267" t="str">
        <f t="shared" si="0"/>
        <v>T</v>
      </c>
      <c r="I5" s="266" t="s">
        <v>43</v>
      </c>
      <c r="J5" s="266" t="s">
        <v>43</v>
      </c>
      <c r="K5" s="266" t="str">
        <f t="shared" si="1"/>
        <v>T</v>
      </c>
    </row>
    <row r="6" spans="2:11" x14ac:dyDescent="0.2">
      <c r="B6" s="257"/>
      <c r="C6" s="270" t="s">
        <v>38</v>
      </c>
      <c r="D6" s="272">
        <v>43925</v>
      </c>
      <c r="E6" s="272">
        <v>45489</v>
      </c>
      <c r="F6" s="267" t="s">
        <v>421</v>
      </c>
      <c r="G6" s="267" t="s">
        <v>421</v>
      </c>
      <c r="H6" s="267" t="str">
        <f t="shared" si="0"/>
        <v>T</v>
      </c>
      <c r="I6" s="266" t="s">
        <v>43</v>
      </c>
      <c r="J6" s="266" t="s">
        <v>43</v>
      </c>
      <c r="K6" s="266" t="str">
        <f t="shared" si="1"/>
        <v>T</v>
      </c>
    </row>
    <row r="7" spans="2:11" x14ac:dyDescent="0.2">
      <c r="B7" s="257"/>
      <c r="C7" s="270" t="s">
        <v>365</v>
      </c>
      <c r="D7" s="272">
        <v>43965</v>
      </c>
      <c r="E7" s="272">
        <v>44958</v>
      </c>
      <c r="F7" s="267" t="s">
        <v>421</v>
      </c>
      <c r="G7" s="267" t="s">
        <v>421</v>
      </c>
      <c r="H7" s="267" t="str">
        <f t="shared" si="0"/>
        <v>T</v>
      </c>
      <c r="I7" s="266" t="s">
        <v>43</v>
      </c>
      <c r="J7" s="266" t="s">
        <v>43</v>
      </c>
      <c r="K7" s="266" t="str">
        <f t="shared" si="1"/>
        <v>T</v>
      </c>
    </row>
    <row r="8" spans="2:11" x14ac:dyDescent="0.2">
      <c r="B8" s="257"/>
      <c r="C8" s="270" t="s">
        <v>27</v>
      </c>
      <c r="D8" s="272">
        <v>44061</v>
      </c>
      <c r="E8" s="272">
        <v>45532</v>
      </c>
      <c r="F8" s="267" t="s">
        <v>421</v>
      </c>
      <c r="G8" s="267" t="s">
        <v>421</v>
      </c>
      <c r="H8" s="267" t="str">
        <f t="shared" si="0"/>
        <v>T</v>
      </c>
      <c r="I8" s="266" t="s">
        <v>43</v>
      </c>
      <c r="J8" s="266" t="s">
        <v>43</v>
      </c>
      <c r="K8" s="266" t="str">
        <f t="shared" si="1"/>
        <v>T</v>
      </c>
    </row>
    <row r="9" spans="2:11" x14ac:dyDescent="0.2">
      <c r="B9" s="257"/>
      <c r="C9" s="270" t="s">
        <v>26</v>
      </c>
      <c r="D9" s="272">
        <v>44505</v>
      </c>
      <c r="E9" s="272">
        <v>45393</v>
      </c>
      <c r="F9" s="267" t="s">
        <v>421</v>
      </c>
      <c r="G9" s="267" t="s">
        <v>421</v>
      </c>
      <c r="H9" s="267" t="str">
        <f t="shared" si="0"/>
        <v>T</v>
      </c>
      <c r="I9" s="266" t="s">
        <v>43</v>
      </c>
      <c r="J9" s="266" t="s">
        <v>43</v>
      </c>
      <c r="K9" s="266" t="str">
        <f t="shared" si="1"/>
        <v>T</v>
      </c>
    </row>
    <row r="10" spans="2:11" x14ac:dyDescent="0.2">
      <c r="B10" s="257"/>
      <c r="C10" s="270" t="s">
        <v>28</v>
      </c>
      <c r="D10" s="272">
        <v>44530</v>
      </c>
      <c r="E10" s="272">
        <v>45378</v>
      </c>
      <c r="F10" s="267" t="s">
        <v>421</v>
      </c>
      <c r="G10" s="267" t="s">
        <v>421</v>
      </c>
      <c r="H10" s="267" t="str">
        <f t="shared" si="0"/>
        <v>T</v>
      </c>
      <c r="I10" s="266" t="s">
        <v>43</v>
      </c>
      <c r="J10" s="266" t="s">
        <v>43</v>
      </c>
      <c r="K10" s="266" t="str">
        <f t="shared" si="1"/>
        <v>T</v>
      </c>
    </row>
    <row r="11" spans="2:11" x14ac:dyDescent="0.2">
      <c r="B11" s="257"/>
      <c r="C11" s="270" t="s">
        <v>31</v>
      </c>
      <c r="D11" s="272">
        <v>44935</v>
      </c>
      <c r="E11" s="272">
        <v>45520</v>
      </c>
      <c r="F11" s="267" t="s">
        <v>421</v>
      </c>
      <c r="G11" s="267" t="s">
        <v>421</v>
      </c>
      <c r="H11" s="267" t="str">
        <f t="shared" si="0"/>
        <v>T</v>
      </c>
      <c r="I11" s="266" t="s">
        <v>43</v>
      </c>
      <c r="J11" s="266" t="s">
        <v>43</v>
      </c>
      <c r="K11" s="266" t="str">
        <f t="shared" si="1"/>
        <v>T</v>
      </c>
    </row>
    <row r="12" spans="2:11" x14ac:dyDescent="0.2">
      <c r="B12" s="257"/>
      <c r="C12" s="270" t="s">
        <v>32</v>
      </c>
      <c r="D12" s="272">
        <v>44935</v>
      </c>
      <c r="E12" s="272">
        <v>45535</v>
      </c>
      <c r="F12" s="267" t="s">
        <v>421</v>
      </c>
      <c r="G12" s="267" t="s">
        <v>421</v>
      </c>
      <c r="H12" s="267" t="str">
        <f t="shared" si="0"/>
        <v>T</v>
      </c>
      <c r="I12" s="266" t="s">
        <v>43</v>
      </c>
      <c r="J12" s="266" t="s">
        <v>43</v>
      </c>
      <c r="K12" s="266" t="str">
        <f t="shared" si="1"/>
        <v>T</v>
      </c>
    </row>
    <row r="13" spans="2:11" x14ac:dyDescent="0.2">
      <c r="B13" s="257"/>
      <c r="C13" s="270" t="s">
        <v>33</v>
      </c>
      <c r="D13" s="272">
        <v>45182</v>
      </c>
      <c r="E13" s="272">
        <v>45533</v>
      </c>
      <c r="F13" s="267" t="s">
        <v>421</v>
      </c>
      <c r="G13" s="267" t="s">
        <v>421</v>
      </c>
      <c r="H13" s="267" t="str">
        <f t="shared" si="0"/>
        <v>T</v>
      </c>
      <c r="I13" s="266" t="s">
        <v>43</v>
      </c>
      <c r="J13" s="266" t="s">
        <v>43</v>
      </c>
      <c r="K13" s="266" t="str">
        <f t="shared" si="1"/>
        <v>T</v>
      </c>
    </row>
    <row r="14" spans="2:11" x14ac:dyDescent="0.2">
      <c r="B14" s="252"/>
      <c r="C14" s="273" t="s">
        <v>405</v>
      </c>
      <c r="D14" s="274">
        <v>43892</v>
      </c>
      <c r="E14" s="274">
        <v>45520</v>
      </c>
      <c r="F14" s="275" t="s">
        <v>57</v>
      </c>
      <c r="G14" s="275" t="s">
        <v>57</v>
      </c>
      <c r="H14" s="275" t="s">
        <v>57</v>
      </c>
      <c r="I14" s="275" t="s">
        <v>57</v>
      </c>
      <c r="J14" s="275" t="s">
        <v>57</v>
      </c>
      <c r="K14" s="275" t="s">
        <v>57</v>
      </c>
    </row>
    <row r="15" spans="2:11" x14ac:dyDescent="0.2">
      <c r="B15" s="276" t="s">
        <v>47</v>
      </c>
      <c r="C15" s="270" t="s">
        <v>15</v>
      </c>
      <c r="D15" s="272">
        <v>43892</v>
      </c>
      <c r="E15" s="272">
        <v>44735</v>
      </c>
      <c r="F15" s="267" t="s">
        <v>420</v>
      </c>
      <c r="G15" s="267" t="s">
        <v>421</v>
      </c>
      <c r="H15" s="267" t="str">
        <f t="shared" si="0"/>
        <v>F</v>
      </c>
      <c r="I15" s="266" t="s">
        <v>45</v>
      </c>
      <c r="J15" s="266" t="s">
        <v>43</v>
      </c>
      <c r="K15" s="266" t="str">
        <f t="shared" si="1"/>
        <v>F</v>
      </c>
    </row>
    <row r="16" spans="2:11" x14ac:dyDescent="0.2">
      <c r="B16" s="257"/>
      <c r="C16" s="270" t="s">
        <v>36</v>
      </c>
      <c r="D16" s="272">
        <v>43893</v>
      </c>
      <c r="E16" s="272">
        <v>44623</v>
      </c>
      <c r="F16" s="267" t="s">
        <v>420</v>
      </c>
      <c r="G16" s="267" t="s">
        <v>421</v>
      </c>
      <c r="H16" s="267" t="str">
        <f t="shared" si="0"/>
        <v>F</v>
      </c>
      <c r="I16" s="266" t="s">
        <v>43</v>
      </c>
      <c r="J16" s="266" t="s">
        <v>43</v>
      </c>
      <c r="K16" s="266" t="str">
        <f t="shared" si="1"/>
        <v>T</v>
      </c>
    </row>
    <row r="17" spans="2:11" x14ac:dyDescent="0.2">
      <c r="B17" s="257"/>
      <c r="C17" s="270" t="s">
        <v>20</v>
      </c>
      <c r="D17" s="272">
        <v>44197</v>
      </c>
      <c r="E17" s="272">
        <v>45304</v>
      </c>
      <c r="F17" s="267" t="s">
        <v>421</v>
      </c>
      <c r="G17" s="267" t="s">
        <v>421</v>
      </c>
      <c r="H17" s="267" t="str">
        <f t="shared" si="0"/>
        <v>T</v>
      </c>
      <c r="I17" s="266" t="s">
        <v>43</v>
      </c>
      <c r="J17" s="266" t="s">
        <v>43</v>
      </c>
      <c r="K17" s="266" t="str">
        <f t="shared" si="1"/>
        <v>T</v>
      </c>
    </row>
    <row r="18" spans="2:11" x14ac:dyDescent="0.2">
      <c r="B18" s="257"/>
      <c r="C18" s="270" t="s">
        <v>24</v>
      </c>
      <c r="D18" s="272">
        <v>44573</v>
      </c>
      <c r="E18" s="272">
        <v>45422</v>
      </c>
      <c r="F18" s="267" t="s">
        <v>421</v>
      </c>
      <c r="G18" s="267" t="s">
        <v>421</v>
      </c>
      <c r="H18" s="267" t="str">
        <f t="shared" si="0"/>
        <v>T</v>
      </c>
      <c r="I18" s="266" t="s">
        <v>43</v>
      </c>
      <c r="J18" s="266" t="s">
        <v>43</v>
      </c>
      <c r="K18" s="266" t="str">
        <f t="shared" si="1"/>
        <v>T</v>
      </c>
    </row>
    <row r="19" spans="2:11" x14ac:dyDescent="0.2">
      <c r="B19" s="257"/>
      <c r="C19" s="270" t="s">
        <v>25</v>
      </c>
      <c r="D19" s="272">
        <v>44578</v>
      </c>
      <c r="E19" s="272">
        <v>45334</v>
      </c>
      <c r="F19" s="267" t="s">
        <v>421</v>
      </c>
      <c r="G19" s="267" t="s">
        <v>421</v>
      </c>
      <c r="H19" s="267" t="str">
        <f t="shared" si="0"/>
        <v>T</v>
      </c>
      <c r="I19" s="266" t="s">
        <v>43</v>
      </c>
      <c r="J19" s="266" t="s">
        <v>43</v>
      </c>
      <c r="K19" s="266" t="str">
        <f t="shared" si="1"/>
        <v>T</v>
      </c>
    </row>
    <row r="20" spans="2:11" x14ac:dyDescent="0.2">
      <c r="B20" s="257"/>
      <c r="C20" s="270" t="s">
        <v>28</v>
      </c>
      <c r="D20" s="272">
        <v>44603</v>
      </c>
      <c r="E20" s="272">
        <v>45292</v>
      </c>
      <c r="F20" s="267" t="s">
        <v>421</v>
      </c>
      <c r="G20" s="267" t="s">
        <v>421</v>
      </c>
      <c r="H20" s="267" t="str">
        <f t="shared" si="0"/>
        <v>T</v>
      </c>
      <c r="I20" s="266" t="s">
        <v>43</v>
      </c>
      <c r="J20" s="266" t="s">
        <v>43</v>
      </c>
      <c r="K20" s="266" t="str">
        <f t="shared" si="1"/>
        <v>T</v>
      </c>
    </row>
    <row r="21" spans="2:11" x14ac:dyDescent="0.2">
      <c r="B21" s="257"/>
      <c r="C21" s="270" t="s">
        <v>38</v>
      </c>
      <c r="D21" s="272">
        <v>44864</v>
      </c>
      <c r="E21" s="272">
        <v>45440</v>
      </c>
      <c r="F21" s="267" t="s">
        <v>420</v>
      </c>
      <c r="G21" s="267" t="s">
        <v>421</v>
      </c>
      <c r="H21" s="267" t="str">
        <f t="shared" si="0"/>
        <v>F</v>
      </c>
      <c r="I21" s="266" t="s">
        <v>43</v>
      </c>
      <c r="J21" s="266" t="s">
        <v>43</v>
      </c>
      <c r="K21" s="266" t="str">
        <f t="shared" si="1"/>
        <v>T</v>
      </c>
    </row>
    <row r="22" spans="2:11" x14ac:dyDescent="0.2">
      <c r="B22" s="257"/>
      <c r="C22" s="270" t="s">
        <v>37</v>
      </c>
      <c r="D22" s="272">
        <v>44927</v>
      </c>
      <c r="E22" s="272">
        <v>45399</v>
      </c>
      <c r="F22" s="267" t="s">
        <v>421</v>
      </c>
      <c r="G22" s="267" t="s">
        <v>421</v>
      </c>
      <c r="H22" s="267" t="str">
        <f t="shared" si="0"/>
        <v>T</v>
      </c>
      <c r="I22" s="266" t="s">
        <v>43</v>
      </c>
      <c r="J22" s="266" t="s">
        <v>43</v>
      </c>
      <c r="K22" s="266" t="str">
        <f t="shared" si="1"/>
        <v>T</v>
      </c>
    </row>
    <row r="23" spans="2:11" x14ac:dyDescent="0.2">
      <c r="B23" s="257"/>
      <c r="C23" s="270" t="s">
        <v>33</v>
      </c>
      <c r="D23" s="272">
        <v>45187</v>
      </c>
      <c r="E23" s="272">
        <v>45529</v>
      </c>
      <c r="F23" s="267" t="s">
        <v>421</v>
      </c>
      <c r="G23" s="267" t="s">
        <v>421</v>
      </c>
      <c r="H23" s="267" t="str">
        <f t="shared" si="0"/>
        <v>T</v>
      </c>
      <c r="I23" s="266" t="s">
        <v>43</v>
      </c>
      <c r="J23" s="266" t="s">
        <v>43</v>
      </c>
      <c r="K23" s="266" t="str">
        <f t="shared" si="1"/>
        <v>T</v>
      </c>
    </row>
    <row r="24" spans="2:11" x14ac:dyDescent="0.2">
      <c r="B24" s="257"/>
      <c r="C24" s="270" t="s">
        <v>32</v>
      </c>
      <c r="D24" s="272">
        <v>45190</v>
      </c>
      <c r="E24" s="272">
        <v>45528</v>
      </c>
      <c r="F24" s="267" t="s">
        <v>421</v>
      </c>
      <c r="G24" s="267" t="s">
        <v>421</v>
      </c>
      <c r="H24" s="267" t="str">
        <f t="shared" si="0"/>
        <v>T</v>
      </c>
      <c r="I24" s="266" t="s">
        <v>43</v>
      </c>
      <c r="J24" s="266" t="s">
        <v>43</v>
      </c>
      <c r="K24" s="266" t="str">
        <f t="shared" si="1"/>
        <v>T</v>
      </c>
    </row>
    <row r="25" spans="2:11" x14ac:dyDescent="0.2">
      <c r="B25" s="252"/>
      <c r="C25" s="273" t="s">
        <v>174</v>
      </c>
      <c r="D25" s="274">
        <v>43892</v>
      </c>
      <c r="E25" s="274">
        <v>45483</v>
      </c>
      <c r="F25" s="275" t="s">
        <v>57</v>
      </c>
      <c r="G25" s="275" t="s">
        <v>57</v>
      </c>
      <c r="H25" s="275" t="s">
        <v>57</v>
      </c>
      <c r="I25" s="275" t="s">
        <v>57</v>
      </c>
      <c r="J25" s="275" t="s">
        <v>57</v>
      </c>
      <c r="K25" s="275" t="s">
        <v>57</v>
      </c>
    </row>
    <row r="26" spans="2:11" x14ac:dyDescent="0.2">
      <c r="B26" s="276" t="s">
        <v>63</v>
      </c>
      <c r="C26" s="270" t="s">
        <v>15</v>
      </c>
      <c r="D26" s="272">
        <v>43899</v>
      </c>
      <c r="E26" s="272">
        <v>45022</v>
      </c>
      <c r="F26" s="267" t="s">
        <v>420</v>
      </c>
      <c r="G26" s="267" t="s">
        <v>421</v>
      </c>
      <c r="H26" s="267" t="str">
        <f t="shared" si="0"/>
        <v>F</v>
      </c>
      <c r="I26" s="266" t="s">
        <v>45</v>
      </c>
      <c r="J26" s="266" t="s">
        <v>43</v>
      </c>
      <c r="K26" s="266" t="str">
        <f t="shared" si="1"/>
        <v>F</v>
      </c>
    </row>
    <row r="27" spans="2:11" x14ac:dyDescent="0.2">
      <c r="B27" s="257"/>
      <c r="C27" s="270" t="s">
        <v>382</v>
      </c>
      <c r="D27" s="272">
        <v>43904</v>
      </c>
      <c r="E27" s="272">
        <v>44624</v>
      </c>
      <c r="F27" s="267" t="s">
        <v>420</v>
      </c>
      <c r="G27" s="267" t="s">
        <v>421</v>
      </c>
      <c r="H27" s="267" t="str">
        <f t="shared" si="0"/>
        <v>F</v>
      </c>
      <c r="I27" s="266" t="s">
        <v>45</v>
      </c>
      <c r="J27" s="266" t="s">
        <v>43</v>
      </c>
      <c r="K27" s="266" t="str">
        <f t="shared" si="1"/>
        <v>F</v>
      </c>
    </row>
    <row r="28" spans="2:11" x14ac:dyDescent="0.2">
      <c r="B28" s="257"/>
      <c r="C28" s="270" t="s">
        <v>36</v>
      </c>
      <c r="D28" s="272">
        <v>43905</v>
      </c>
      <c r="E28" s="272">
        <v>44741</v>
      </c>
      <c r="F28" s="267" t="s">
        <v>421</v>
      </c>
      <c r="G28" s="267" t="s">
        <v>421</v>
      </c>
      <c r="H28" s="267" t="str">
        <f t="shared" si="0"/>
        <v>T</v>
      </c>
      <c r="I28" s="266" t="s">
        <v>43</v>
      </c>
      <c r="J28" s="266" t="s">
        <v>43</v>
      </c>
      <c r="K28" s="266" t="str">
        <f t="shared" si="1"/>
        <v>T</v>
      </c>
    </row>
    <row r="29" spans="2:11" x14ac:dyDescent="0.2">
      <c r="B29" s="257"/>
      <c r="C29" s="270" t="s">
        <v>10</v>
      </c>
      <c r="D29" s="272">
        <v>43962</v>
      </c>
      <c r="E29" s="272">
        <v>44798</v>
      </c>
      <c r="F29" s="267" t="s">
        <v>421</v>
      </c>
      <c r="G29" s="267" t="s">
        <v>421</v>
      </c>
      <c r="H29" s="267" t="str">
        <f t="shared" si="0"/>
        <v>T</v>
      </c>
      <c r="I29" s="266" t="s">
        <v>43</v>
      </c>
      <c r="J29" s="266" t="s">
        <v>43</v>
      </c>
      <c r="K29" s="266" t="str">
        <f t="shared" si="1"/>
        <v>T</v>
      </c>
    </row>
    <row r="30" spans="2:11" x14ac:dyDescent="0.2">
      <c r="B30" s="257"/>
      <c r="C30" s="270" t="s">
        <v>14</v>
      </c>
      <c r="D30" s="272">
        <v>43962</v>
      </c>
      <c r="E30" s="272">
        <v>44713</v>
      </c>
      <c r="F30" s="267" t="s">
        <v>421</v>
      </c>
      <c r="G30" s="267" t="s">
        <v>421</v>
      </c>
      <c r="H30" s="267" t="str">
        <f t="shared" si="0"/>
        <v>T</v>
      </c>
      <c r="I30" s="266" t="s">
        <v>43</v>
      </c>
      <c r="J30" s="266" t="s">
        <v>43</v>
      </c>
      <c r="K30" s="266" t="str">
        <f t="shared" si="1"/>
        <v>T</v>
      </c>
    </row>
    <row r="31" spans="2:11" x14ac:dyDescent="0.2">
      <c r="B31" s="257"/>
      <c r="C31" s="270" t="s">
        <v>18</v>
      </c>
      <c r="D31" s="272">
        <v>44316</v>
      </c>
      <c r="E31" s="272">
        <v>45069</v>
      </c>
      <c r="F31" s="267" t="s">
        <v>421</v>
      </c>
      <c r="G31" s="267" t="s">
        <v>421</v>
      </c>
      <c r="H31" s="267" t="str">
        <f t="shared" si="0"/>
        <v>T</v>
      </c>
      <c r="I31" s="266" t="s">
        <v>43</v>
      </c>
      <c r="J31" s="266" t="s">
        <v>43</v>
      </c>
      <c r="K31" s="266" t="str">
        <f t="shared" si="1"/>
        <v>T</v>
      </c>
    </row>
    <row r="32" spans="2:11" x14ac:dyDescent="0.2">
      <c r="B32" s="257"/>
      <c r="C32" s="270" t="s">
        <v>20</v>
      </c>
      <c r="D32" s="272">
        <v>44316</v>
      </c>
      <c r="E32" s="272">
        <v>45314</v>
      </c>
      <c r="F32" s="267" t="s">
        <v>421</v>
      </c>
      <c r="G32" s="267" t="s">
        <v>421</v>
      </c>
      <c r="H32" s="267" t="str">
        <f t="shared" si="0"/>
        <v>T</v>
      </c>
      <c r="I32" s="266" t="s">
        <v>43</v>
      </c>
      <c r="J32" s="266" t="s">
        <v>43</v>
      </c>
      <c r="K32" s="266" t="str">
        <f t="shared" si="1"/>
        <v>T</v>
      </c>
    </row>
    <row r="33" spans="2:19" x14ac:dyDescent="0.2">
      <c r="B33" s="257"/>
      <c r="C33" s="270" t="s">
        <v>25</v>
      </c>
      <c r="D33" s="272">
        <v>44652</v>
      </c>
      <c r="E33" s="272">
        <v>45022</v>
      </c>
      <c r="F33" s="267" t="s">
        <v>421</v>
      </c>
      <c r="G33" s="267" t="s">
        <v>421</v>
      </c>
      <c r="H33" s="267" t="str">
        <f t="shared" si="0"/>
        <v>T</v>
      </c>
      <c r="I33" s="266" t="s">
        <v>43</v>
      </c>
      <c r="J33" s="266" t="s">
        <v>43</v>
      </c>
      <c r="K33" s="266" t="str">
        <f t="shared" si="1"/>
        <v>T</v>
      </c>
    </row>
    <row r="34" spans="2:19" x14ac:dyDescent="0.2">
      <c r="B34" s="257"/>
      <c r="C34" s="270" t="s">
        <v>24</v>
      </c>
      <c r="D34" s="272">
        <v>44658</v>
      </c>
      <c r="E34" s="272">
        <v>45091</v>
      </c>
      <c r="F34" s="267" t="s">
        <v>421</v>
      </c>
      <c r="G34" s="267" t="s">
        <v>421</v>
      </c>
      <c r="H34" s="267" t="str">
        <f t="shared" si="0"/>
        <v>T</v>
      </c>
      <c r="I34" s="266" t="s">
        <v>43</v>
      </c>
      <c r="J34" s="266" t="s">
        <v>43</v>
      </c>
      <c r="K34" s="266" t="str">
        <f t="shared" si="1"/>
        <v>T</v>
      </c>
    </row>
    <row r="35" spans="2:19" x14ac:dyDescent="0.2">
      <c r="B35" s="257"/>
      <c r="C35" s="270" t="s">
        <v>384</v>
      </c>
      <c r="D35" s="272">
        <v>44658</v>
      </c>
      <c r="E35" s="272">
        <v>45308</v>
      </c>
      <c r="F35" s="267" t="s">
        <v>421</v>
      </c>
      <c r="G35" s="267" t="s">
        <v>421</v>
      </c>
      <c r="H35" s="267" t="str">
        <f t="shared" si="0"/>
        <v>T</v>
      </c>
      <c r="I35" s="266" t="s">
        <v>43</v>
      </c>
      <c r="J35" s="266" t="s">
        <v>43</v>
      </c>
      <c r="K35" s="266" t="str">
        <f t="shared" si="1"/>
        <v>T</v>
      </c>
    </row>
    <row r="36" spans="2:19" x14ac:dyDescent="0.2">
      <c r="B36" s="257"/>
      <c r="C36" s="270" t="s">
        <v>385</v>
      </c>
      <c r="D36" s="272">
        <v>44725</v>
      </c>
      <c r="E36" s="272">
        <v>45073</v>
      </c>
      <c r="F36" s="267" t="s">
        <v>421</v>
      </c>
      <c r="G36" s="267" t="s">
        <v>421</v>
      </c>
      <c r="H36" s="267" t="str">
        <f t="shared" si="0"/>
        <v>T</v>
      </c>
      <c r="I36" s="266" t="s">
        <v>43</v>
      </c>
      <c r="J36" s="266" t="s">
        <v>43</v>
      </c>
      <c r="K36" s="266" t="str">
        <f t="shared" si="1"/>
        <v>T</v>
      </c>
    </row>
    <row r="37" spans="2:19" x14ac:dyDescent="0.2">
      <c r="B37" s="257"/>
      <c r="C37" s="270" t="s">
        <v>28</v>
      </c>
      <c r="D37" s="272">
        <v>44797</v>
      </c>
      <c r="E37" s="272">
        <v>45117</v>
      </c>
      <c r="F37" s="267" t="s">
        <v>421</v>
      </c>
      <c r="G37" s="267" t="s">
        <v>421</v>
      </c>
      <c r="H37" s="267" t="str">
        <f t="shared" si="0"/>
        <v>T</v>
      </c>
      <c r="I37" s="266" t="s">
        <v>43</v>
      </c>
      <c r="J37" s="266" t="s">
        <v>43</v>
      </c>
      <c r="K37" s="266" t="str">
        <f t="shared" si="1"/>
        <v>T</v>
      </c>
    </row>
    <row r="38" spans="2:19" x14ac:dyDescent="0.2">
      <c r="B38" s="257"/>
      <c r="C38" s="270" t="s">
        <v>38</v>
      </c>
      <c r="D38" s="272">
        <v>44869</v>
      </c>
      <c r="E38" s="272">
        <v>45266</v>
      </c>
      <c r="F38" s="267" t="s">
        <v>421</v>
      </c>
      <c r="G38" s="267" t="s">
        <v>421</v>
      </c>
      <c r="H38" s="267" t="str">
        <f t="shared" si="0"/>
        <v>T</v>
      </c>
      <c r="I38" s="266" t="s">
        <v>43</v>
      </c>
      <c r="J38" s="266" t="s">
        <v>43</v>
      </c>
      <c r="K38" s="266" t="str">
        <f t="shared" si="1"/>
        <v>T</v>
      </c>
    </row>
    <row r="39" spans="2:19" x14ac:dyDescent="0.2">
      <c r="B39" s="257"/>
      <c r="C39" s="270" t="s">
        <v>29</v>
      </c>
      <c r="D39" s="272">
        <v>45015</v>
      </c>
      <c r="E39" s="272">
        <v>45306</v>
      </c>
      <c r="F39" s="267" t="s">
        <v>421</v>
      </c>
      <c r="G39" s="267" t="s">
        <v>421</v>
      </c>
      <c r="H39" s="267" t="str">
        <f t="shared" si="0"/>
        <v>T</v>
      </c>
      <c r="I39" s="266" t="s">
        <v>43</v>
      </c>
      <c r="J39" s="266" t="s">
        <v>43</v>
      </c>
      <c r="K39" s="266" t="str">
        <f t="shared" si="1"/>
        <v>T</v>
      </c>
    </row>
    <row r="40" spans="2:19" x14ac:dyDescent="0.2">
      <c r="B40" s="252"/>
      <c r="C40" s="273" t="s">
        <v>422</v>
      </c>
      <c r="D40" s="274">
        <v>43899</v>
      </c>
      <c r="E40" s="274">
        <v>45292</v>
      </c>
      <c r="F40" s="275" t="s">
        <v>57</v>
      </c>
      <c r="G40" s="275" t="s">
        <v>57</v>
      </c>
      <c r="H40" s="275" t="s">
        <v>57</v>
      </c>
      <c r="I40" s="275" t="s">
        <v>57</v>
      </c>
      <c r="J40" s="275" t="s">
        <v>57</v>
      </c>
      <c r="K40" s="275" t="s">
        <v>57</v>
      </c>
    </row>
    <row r="41" spans="2:19" x14ac:dyDescent="0.2">
      <c r="B41" s="276" t="s">
        <v>64</v>
      </c>
      <c r="C41" s="270" t="s">
        <v>65</v>
      </c>
      <c r="D41" s="272">
        <v>43966</v>
      </c>
      <c r="E41" s="272">
        <v>44406</v>
      </c>
      <c r="F41" s="267" t="s">
        <v>421</v>
      </c>
      <c r="G41" s="267" t="s">
        <v>421</v>
      </c>
      <c r="H41" s="267" t="str">
        <f t="shared" si="0"/>
        <v>T</v>
      </c>
      <c r="I41" s="266" t="s">
        <v>43</v>
      </c>
      <c r="J41" s="266" t="s">
        <v>43</v>
      </c>
      <c r="K41" s="266" t="str">
        <f t="shared" si="1"/>
        <v>T</v>
      </c>
    </row>
    <row r="42" spans="2:19" x14ac:dyDescent="0.2">
      <c r="B42" s="257"/>
      <c r="C42" s="270" t="s">
        <v>25</v>
      </c>
      <c r="D42" s="272">
        <v>44058</v>
      </c>
      <c r="E42" s="272">
        <v>45296</v>
      </c>
      <c r="F42" s="267" t="s">
        <v>420</v>
      </c>
      <c r="G42" s="267" t="s">
        <v>421</v>
      </c>
      <c r="H42" s="267" t="str">
        <f t="shared" si="0"/>
        <v>F</v>
      </c>
      <c r="I42" s="266" t="s">
        <v>45</v>
      </c>
      <c r="J42" s="266" t="s">
        <v>43</v>
      </c>
      <c r="K42" s="266" t="str">
        <f t="shared" si="1"/>
        <v>F</v>
      </c>
    </row>
    <row r="43" spans="2:19" x14ac:dyDescent="0.2">
      <c r="B43" s="257"/>
      <c r="C43" s="270" t="s">
        <v>26</v>
      </c>
      <c r="D43" s="272">
        <v>44058</v>
      </c>
      <c r="E43" s="272">
        <v>45250</v>
      </c>
      <c r="F43" s="267" t="s">
        <v>421</v>
      </c>
      <c r="G43" s="267" t="s">
        <v>421</v>
      </c>
      <c r="H43" s="267" t="str">
        <f t="shared" si="0"/>
        <v>T</v>
      </c>
      <c r="I43" s="266" t="s">
        <v>43</v>
      </c>
      <c r="J43" s="266" t="s">
        <v>43</v>
      </c>
      <c r="K43" s="266" t="str">
        <f t="shared" si="1"/>
        <v>T</v>
      </c>
    </row>
    <row r="44" spans="2:19" x14ac:dyDescent="0.15">
      <c r="B44" s="257"/>
      <c r="C44" s="270" t="s">
        <v>371</v>
      </c>
      <c r="D44" s="272">
        <v>44058</v>
      </c>
      <c r="E44" s="272">
        <v>45288</v>
      </c>
      <c r="F44" s="267" t="s">
        <v>420</v>
      </c>
      <c r="G44" s="267" t="s">
        <v>421</v>
      </c>
      <c r="H44" s="267" t="str">
        <f t="shared" si="0"/>
        <v>F</v>
      </c>
      <c r="I44" s="266" t="s">
        <v>43</v>
      </c>
      <c r="J44" s="266" t="s">
        <v>43</v>
      </c>
      <c r="K44" s="266" t="str">
        <f t="shared" si="1"/>
        <v>T</v>
      </c>
      <c r="O44" s="1">
        <v>1</v>
      </c>
      <c r="P44" s="2" t="s">
        <v>8</v>
      </c>
      <c r="Q44" s="2">
        <v>68</v>
      </c>
      <c r="R44" s="14">
        <v>43892</v>
      </c>
      <c r="S44" s="14">
        <v>45520</v>
      </c>
    </row>
    <row r="45" spans="2:19" x14ac:dyDescent="0.15">
      <c r="B45" s="257"/>
      <c r="C45" s="270" t="s">
        <v>36</v>
      </c>
      <c r="D45" s="272">
        <v>44106</v>
      </c>
      <c r="E45" s="272">
        <v>44470</v>
      </c>
      <c r="F45" s="267" t="s">
        <v>421</v>
      </c>
      <c r="G45" s="267" t="s">
        <v>421</v>
      </c>
      <c r="H45" s="267" t="str">
        <f t="shared" si="0"/>
        <v>T</v>
      </c>
      <c r="I45" s="266" t="s">
        <v>43</v>
      </c>
      <c r="J45" s="266" t="s">
        <v>43</v>
      </c>
      <c r="K45" s="266" t="str">
        <f t="shared" si="1"/>
        <v>T</v>
      </c>
      <c r="O45" s="1">
        <v>2</v>
      </c>
      <c r="P45" s="2" t="s">
        <v>47</v>
      </c>
      <c r="Q45" s="2">
        <v>76</v>
      </c>
      <c r="R45" s="14">
        <v>43892</v>
      </c>
      <c r="S45" s="14">
        <v>45483</v>
      </c>
    </row>
    <row r="46" spans="2:19" x14ac:dyDescent="0.15">
      <c r="B46" s="257"/>
      <c r="C46" s="270" t="s">
        <v>168</v>
      </c>
      <c r="D46" s="272">
        <v>44165</v>
      </c>
      <c r="E46" s="272">
        <v>44453</v>
      </c>
      <c r="F46" s="267" t="s">
        <v>420</v>
      </c>
      <c r="G46" s="267" t="s">
        <v>421</v>
      </c>
      <c r="H46" s="267" t="str">
        <f t="shared" si="0"/>
        <v>F</v>
      </c>
      <c r="I46" s="266" t="s">
        <v>43</v>
      </c>
      <c r="J46" s="266" t="s">
        <v>43</v>
      </c>
      <c r="K46" s="266" t="str">
        <f t="shared" si="1"/>
        <v>T</v>
      </c>
      <c r="O46" s="1">
        <v>3</v>
      </c>
      <c r="P46" s="2" t="s">
        <v>63</v>
      </c>
      <c r="Q46" s="2">
        <v>47</v>
      </c>
      <c r="R46" s="14">
        <v>43899</v>
      </c>
      <c r="S46" s="14">
        <v>45292</v>
      </c>
    </row>
    <row r="47" spans="2:19" x14ac:dyDescent="0.15">
      <c r="B47" s="257"/>
      <c r="C47" s="270" t="s">
        <v>169</v>
      </c>
      <c r="D47" s="272">
        <v>44202</v>
      </c>
      <c r="E47" s="272">
        <v>45029</v>
      </c>
      <c r="F47" s="267" t="s">
        <v>420</v>
      </c>
      <c r="G47" s="267" t="s">
        <v>421</v>
      </c>
      <c r="H47" s="267" t="str">
        <f t="shared" si="0"/>
        <v>F</v>
      </c>
      <c r="I47" s="266" t="s">
        <v>45</v>
      </c>
      <c r="J47" s="266" t="s">
        <v>43</v>
      </c>
      <c r="K47" s="266" t="str">
        <f t="shared" si="1"/>
        <v>F</v>
      </c>
      <c r="O47" s="1">
        <v>4</v>
      </c>
      <c r="P47" s="2" t="s">
        <v>64</v>
      </c>
      <c r="Q47" s="2">
        <v>37</v>
      </c>
      <c r="R47" s="14">
        <v>43913</v>
      </c>
      <c r="S47" s="14">
        <v>45507</v>
      </c>
    </row>
    <row r="48" spans="2:19" x14ac:dyDescent="0.15">
      <c r="B48" s="257"/>
      <c r="C48" s="270" t="s">
        <v>66</v>
      </c>
      <c r="D48" s="272">
        <v>44224</v>
      </c>
      <c r="E48" s="272">
        <v>45236</v>
      </c>
      <c r="F48" s="267" t="s">
        <v>421</v>
      </c>
      <c r="G48" s="267" t="s">
        <v>421</v>
      </c>
      <c r="H48" s="267" t="str">
        <f t="shared" si="0"/>
        <v>T</v>
      </c>
      <c r="I48" s="266" t="s">
        <v>43</v>
      </c>
      <c r="J48" s="266" t="s">
        <v>43</v>
      </c>
      <c r="K48" s="266" t="str">
        <f t="shared" si="1"/>
        <v>T</v>
      </c>
      <c r="O48" s="1">
        <v>5</v>
      </c>
      <c r="P48" s="2" t="s">
        <v>71</v>
      </c>
      <c r="Q48" s="2">
        <v>49</v>
      </c>
      <c r="R48" s="14">
        <v>44368</v>
      </c>
      <c r="S48" s="14">
        <v>45039</v>
      </c>
    </row>
    <row r="49" spans="2:19" x14ac:dyDescent="0.15">
      <c r="B49" s="257"/>
      <c r="C49" s="270" t="s">
        <v>20</v>
      </c>
      <c r="D49" s="272">
        <v>44560</v>
      </c>
      <c r="E49" s="272">
        <v>45521</v>
      </c>
      <c r="F49" s="267" t="s">
        <v>420</v>
      </c>
      <c r="G49" s="267" t="s">
        <v>421</v>
      </c>
      <c r="H49" s="267" t="str">
        <f t="shared" si="0"/>
        <v>F</v>
      </c>
      <c r="I49" s="266" t="s">
        <v>45</v>
      </c>
      <c r="J49" s="266" t="s">
        <v>43</v>
      </c>
      <c r="K49" s="266" t="str">
        <f t="shared" si="1"/>
        <v>F</v>
      </c>
      <c r="O49" s="1">
        <v>6</v>
      </c>
      <c r="P49" s="2" t="s">
        <v>67</v>
      </c>
      <c r="Q49" s="2">
        <v>55</v>
      </c>
      <c r="R49" s="14">
        <v>43906</v>
      </c>
      <c r="S49" s="14">
        <v>45530</v>
      </c>
    </row>
    <row r="50" spans="2:19" x14ac:dyDescent="0.15">
      <c r="B50" s="257"/>
      <c r="C50" s="270" t="s">
        <v>373</v>
      </c>
      <c r="D50" s="272">
        <v>44569</v>
      </c>
      <c r="E50" s="272">
        <v>45071</v>
      </c>
      <c r="F50" s="267" t="s">
        <v>421</v>
      </c>
      <c r="G50" s="267" t="s">
        <v>421</v>
      </c>
      <c r="H50" s="267" t="str">
        <f t="shared" si="0"/>
        <v>T</v>
      </c>
      <c r="I50" s="266" t="s">
        <v>43</v>
      </c>
      <c r="J50" s="266" t="s">
        <v>43</v>
      </c>
      <c r="K50" s="266" t="str">
        <f t="shared" si="1"/>
        <v>T</v>
      </c>
      <c r="O50" s="1">
        <v>7</v>
      </c>
      <c r="P50" s="2" t="s">
        <v>69</v>
      </c>
      <c r="Q50" s="2">
        <v>65</v>
      </c>
      <c r="R50" s="14">
        <v>43892</v>
      </c>
      <c r="S50" s="14">
        <v>45475</v>
      </c>
    </row>
    <row r="51" spans="2:19" x14ac:dyDescent="0.15">
      <c r="B51" s="257"/>
      <c r="C51" s="270" t="s">
        <v>38</v>
      </c>
      <c r="D51" s="272">
        <v>44896</v>
      </c>
      <c r="E51" s="272">
        <v>45322</v>
      </c>
      <c r="F51" s="267" t="s">
        <v>421</v>
      </c>
      <c r="G51" s="267" t="s">
        <v>421</v>
      </c>
      <c r="H51" s="267" t="str">
        <f t="shared" si="0"/>
        <v>T</v>
      </c>
      <c r="I51" s="266" t="s">
        <v>43</v>
      </c>
      <c r="J51" s="266" t="s">
        <v>43</v>
      </c>
      <c r="K51" s="266" t="str">
        <f t="shared" si="1"/>
        <v>T</v>
      </c>
      <c r="O51" s="1">
        <v>8</v>
      </c>
      <c r="P51" s="2" t="s">
        <v>72</v>
      </c>
      <c r="Q51" s="2">
        <v>67</v>
      </c>
      <c r="R51" s="14">
        <v>43913</v>
      </c>
      <c r="S51" s="14">
        <v>45492</v>
      </c>
    </row>
    <row r="52" spans="2:19" x14ac:dyDescent="0.15">
      <c r="B52" s="257"/>
      <c r="C52" s="270" t="s">
        <v>30</v>
      </c>
      <c r="D52" s="272">
        <v>44927</v>
      </c>
      <c r="E52" s="272">
        <v>45504</v>
      </c>
      <c r="F52" s="267" t="s">
        <v>420</v>
      </c>
      <c r="G52" s="267" t="s">
        <v>421</v>
      </c>
      <c r="H52" s="267" t="str">
        <f t="shared" si="0"/>
        <v>F</v>
      </c>
      <c r="I52" s="266" t="s">
        <v>45</v>
      </c>
      <c r="J52" s="266" t="s">
        <v>43</v>
      </c>
      <c r="K52" s="266" t="str">
        <f t="shared" si="1"/>
        <v>F</v>
      </c>
      <c r="O52" s="1">
        <v>9</v>
      </c>
      <c r="P52" s="2" t="s">
        <v>73</v>
      </c>
      <c r="Q52" s="2">
        <v>64</v>
      </c>
      <c r="R52" s="14">
        <v>43893</v>
      </c>
      <c r="S52" s="14">
        <v>45490</v>
      </c>
    </row>
    <row r="53" spans="2:19" x14ac:dyDescent="0.15">
      <c r="B53" s="257"/>
      <c r="C53" s="270" t="s">
        <v>37</v>
      </c>
      <c r="D53" s="272">
        <v>44988</v>
      </c>
      <c r="E53" s="272">
        <v>45383</v>
      </c>
      <c r="F53" s="267" t="s">
        <v>421</v>
      </c>
      <c r="G53" s="267" t="s">
        <v>421</v>
      </c>
      <c r="H53" s="267" t="str">
        <f t="shared" si="0"/>
        <v>T</v>
      </c>
      <c r="I53" s="266" t="s">
        <v>43</v>
      </c>
      <c r="J53" s="266" t="s">
        <v>43</v>
      </c>
      <c r="K53" s="266" t="str">
        <f t="shared" si="1"/>
        <v>T</v>
      </c>
      <c r="O53" s="1">
        <v>10</v>
      </c>
      <c r="P53" s="2" t="s">
        <v>74</v>
      </c>
      <c r="Q53" s="2">
        <v>54</v>
      </c>
      <c r="R53" s="14">
        <v>43983</v>
      </c>
      <c r="S53" s="14">
        <v>45361</v>
      </c>
    </row>
    <row r="54" spans="2:19" x14ac:dyDescent="0.15">
      <c r="B54" s="257"/>
      <c r="C54" s="270" t="s">
        <v>32</v>
      </c>
      <c r="D54" s="272">
        <v>45162</v>
      </c>
      <c r="E54" s="272">
        <v>45521</v>
      </c>
      <c r="F54" s="267" t="s">
        <v>420</v>
      </c>
      <c r="G54" s="267" t="s">
        <v>421</v>
      </c>
      <c r="H54" s="267" t="str">
        <f t="shared" si="0"/>
        <v>F</v>
      </c>
      <c r="I54" s="266" t="s">
        <v>43</v>
      </c>
      <c r="J54" s="266" t="s">
        <v>43</v>
      </c>
      <c r="K54" s="266" t="str">
        <f t="shared" si="1"/>
        <v>T</v>
      </c>
      <c r="O54" s="1">
        <v>11</v>
      </c>
      <c r="P54" s="2" t="s">
        <v>79</v>
      </c>
      <c r="Q54" s="2">
        <v>58</v>
      </c>
      <c r="R54" s="14">
        <v>43899</v>
      </c>
      <c r="S54" s="14">
        <v>45474</v>
      </c>
    </row>
    <row r="55" spans="2:19" x14ac:dyDescent="0.2">
      <c r="B55" s="252"/>
      <c r="C55" s="273" t="s">
        <v>423</v>
      </c>
      <c r="D55" s="274">
        <v>43913</v>
      </c>
      <c r="E55" s="274">
        <v>45507</v>
      </c>
      <c r="F55" s="275" t="s">
        <v>57</v>
      </c>
      <c r="G55" s="275" t="s">
        <v>57</v>
      </c>
      <c r="H55" s="275" t="s">
        <v>57</v>
      </c>
      <c r="I55" s="275" t="s">
        <v>57</v>
      </c>
      <c r="J55" s="275" t="s">
        <v>57</v>
      </c>
      <c r="K55" s="275" t="s">
        <v>57</v>
      </c>
      <c r="O55" s="1">
        <v>12</v>
      </c>
      <c r="P55" s="2" t="s">
        <v>48</v>
      </c>
      <c r="Q55" s="2">
        <v>37</v>
      </c>
      <c r="R55" s="14">
        <v>44235</v>
      </c>
      <c r="S55" s="14">
        <v>45342</v>
      </c>
    </row>
    <row r="56" spans="2:19" x14ac:dyDescent="0.15">
      <c r="B56" s="276" t="s">
        <v>71</v>
      </c>
      <c r="C56" s="270" t="s">
        <v>14</v>
      </c>
      <c r="D56" s="272">
        <v>44377</v>
      </c>
      <c r="E56" s="272">
        <v>44620</v>
      </c>
      <c r="F56" s="267" t="s">
        <v>421</v>
      </c>
      <c r="G56" s="267" t="s">
        <v>421</v>
      </c>
      <c r="H56" s="267" t="str">
        <f t="shared" si="0"/>
        <v>T</v>
      </c>
      <c r="I56" s="266" t="s">
        <v>45</v>
      </c>
      <c r="J56" s="266" t="s">
        <v>43</v>
      </c>
      <c r="K56" s="266" t="str">
        <f t="shared" si="1"/>
        <v>F</v>
      </c>
      <c r="O56" s="1">
        <v>13</v>
      </c>
      <c r="P56" s="2" t="s">
        <v>82</v>
      </c>
      <c r="Q56" s="2">
        <v>49</v>
      </c>
      <c r="R56" s="14">
        <v>43948</v>
      </c>
      <c r="S56" s="14">
        <v>45302</v>
      </c>
    </row>
    <row r="57" spans="2:19" x14ac:dyDescent="0.15">
      <c r="B57" s="257"/>
      <c r="C57" s="270" t="s">
        <v>23</v>
      </c>
      <c r="D57" s="272">
        <v>44515</v>
      </c>
      <c r="E57" s="272">
        <v>44885</v>
      </c>
      <c r="F57" s="267" t="s">
        <v>421</v>
      </c>
      <c r="G57" s="267" t="s">
        <v>421</v>
      </c>
      <c r="H57" s="267" t="str">
        <f t="shared" si="0"/>
        <v>T</v>
      </c>
      <c r="I57" s="266" t="s">
        <v>43</v>
      </c>
      <c r="J57" s="266" t="s">
        <v>43</v>
      </c>
      <c r="K57" s="266" t="str">
        <f t="shared" si="1"/>
        <v>T</v>
      </c>
      <c r="O57" s="1">
        <v>14</v>
      </c>
      <c r="P57" s="2" t="s">
        <v>86</v>
      </c>
      <c r="Q57" s="2">
        <v>59</v>
      </c>
      <c r="R57" s="14">
        <v>43885</v>
      </c>
      <c r="S57" s="14">
        <v>45312</v>
      </c>
    </row>
    <row r="58" spans="2:19" x14ac:dyDescent="0.15">
      <c r="B58" s="257"/>
      <c r="C58" s="270" t="s">
        <v>20</v>
      </c>
      <c r="D58" s="272">
        <v>44522</v>
      </c>
      <c r="E58" s="272">
        <v>45026</v>
      </c>
      <c r="F58" s="267" t="s">
        <v>421</v>
      </c>
      <c r="G58" s="267" t="s">
        <v>421</v>
      </c>
      <c r="H58" s="267" t="str">
        <f t="shared" si="0"/>
        <v>T</v>
      </c>
      <c r="I58" s="266" t="s">
        <v>43</v>
      </c>
      <c r="J58" s="266" t="s">
        <v>43</v>
      </c>
      <c r="K58" s="266" t="str">
        <f t="shared" si="1"/>
        <v>T</v>
      </c>
      <c r="O58" s="1">
        <v>15</v>
      </c>
      <c r="P58" s="2" t="s">
        <v>87</v>
      </c>
      <c r="Q58" s="2">
        <v>29</v>
      </c>
      <c r="R58" s="14">
        <v>44194</v>
      </c>
      <c r="S58" s="14">
        <v>45261</v>
      </c>
    </row>
    <row r="59" spans="2:19" x14ac:dyDescent="0.2">
      <c r="B59" s="257"/>
      <c r="C59" s="270" t="s">
        <v>25</v>
      </c>
      <c r="D59" s="272">
        <v>44648</v>
      </c>
      <c r="E59" s="272">
        <v>44979</v>
      </c>
      <c r="F59" s="267" t="s">
        <v>421</v>
      </c>
      <c r="G59" s="267" t="s">
        <v>421</v>
      </c>
      <c r="H59" s="267" t="str">
        <f t="shared" si="0"/>
        <v>T</v>
      </c>
      <c r="I59" s="266" t="s">
        <v>43</v>
      </c>
      <c r="J59" s="266" t="s">
        <v>43</v>
      </c>
      <c r="K59" s="266" t="str">
        <f t="shared" si="1"/>
        <v>T</v>
      </c>
    </row>
    <row r="60" spans="2:19" x14ac:dyDescent="0.2">
      <c r="B60" s="257"/>
      <c r="C60" s="270" t="s">
        <v>24</v>
      </c>
      <c r="D60" s="272">
        <v>44684</v>
      </c>
      <c r="E60" s="272">
        <v>44996</v>
      </c>
      <c r="F60" s="267" t="s">
        <v>421</v>
      </c>
      <c r="G60" s="267" t="s">
        <v>421</v>
      </c>
      <c r="H60" s="267" t="str">
        <f t="shared" si="0"/>
        <v>T</v>
      </c>
      <c r="I60" s="266" t="s">
        <v>43</v>
      </c>
      <c r="J60" s="266" t="s">
        <v>43</v>
      </c>
      <c r="K60" s="266" t="str">
        <f t="shared" si="1"/>
        <v>T</v>
      </c>
    </row>
    <row r="61" spans="2:19" x14ac:dyDescent="0.2">
      <c r="B61" s="257"/>
      <c r="C61" s="270" t="s">
        <v>28</v>
      </c>
      <c r="D61" s="272">
        <v>44804</v>
      </c>
      <c r="E61" s="272">
        <v>45025</v>
      </c>
      <c r="F61" s="267" t="s">
        <v>421</v>
      </c>
      <c r="G61" s="267" t="s">
        <v>421</v>
      </c>
      <c r="H61" s="267" t="str">
        <f t="shared" si="0"/>
        <v>T</v>
      </c>
      <c r="I61" s="266" t="s">
        <v>43</v>
      </c>
      <c r="J61" s="266" t="s">
        <v>43</v>
      </c>
      <c r="K61" s="266" t="str">
        <f t="shared" si="1"/>
        <v>T</v>
      </c>
    </row>
    <row r="62" spans="2:19" x14ac:dyDescent="0.2">
      <c r="B62" s="252"/>
      <c r="C62" s="273" t="s">
        <v>424</v>
      </c>
      <c r="D62" s="274">
        <v>44368</v>
      </c>
      <c r="E62" s="274">
        <v>45039</v>
      </c>
      <c r="F62" s="275" t="s">
        <v>57</v>
      </c>
      <c r="G62" s="275" t="s">
        <v>57</v>
      </c>
      <c r="H62" s="275" t="s">
        <v>57</v>
      </c>
      <c r="I62" s="275" t="s">
        <v>57</v>
      </c>
      <c r="J62" s="275" t="s">
        <v>57</v>
      </c>
      <c r="K62" s="275" t="s">
        <v>57</v>
      </c>
    </row>
    <row r="63" spans="2:19" x14ac:dyDescent="0.2">
      <c r="B63" s="276" t="s">
        <v>67</v>
      </c>
      <c r="C63" s="270" t="s">
        <v>382</v>
      </c>
      <c r="D63" s="272">
        <v>43906</v>
      </c>
      <c r="E63" s="272">
        <v>44621</v>
      </c>
      <c r="F63" s="267" t="s">
        <v>420</v>
      </c>
      <c r="G63" s="267" t="s">
        <v>421</v>
      </c>
      <c r="H63" s="267" t="str">
        <f t="shared" si="0"/>
        <v>F</v>
      </c>
      <c r="I63" s="266" t="s">
        <v>45</v>
      </c>
      <c r="J63" s="266" t="s">
        <v>43</v>
      </c>
      <c r="K63" s="266" t="str">
        <f t="shared" si="1"/>
        <v>F</v>
      </c>
    </row>
    <row r="64" spans="2:19" x14ac:dyDescent="0.2">
      <c r="B64" s="257"/>
      <c r="C64" s="270" t="s">
        <v>15</v>
      </c>
      <c r="D64" s="272">
        <v>43906</v>
      </c>
      <c r="E64" s="272">
        <v>45281</v>
      </c>
      <c r="F64" s="267" t="s">
        <v>420</v>
      </c>
      <c r="G64" s="267" t="s">
        <v>421</v>
      </c>
      <c r="H64" s="267" t="str">
        <f t="shared" si="0"/>
        <v>F</v>
      </c>
      <c r="I64" s="266" t="s">
        <v>43</v>
      </c>
      <c r="J64" s="266" t="s">
        <v>43</v>
      </c>
      <c r="K64" s="266" t="str">
        <f t="shared" si="1"/>
        <v>T</v>
      </c>
    </row>
    <row r="65" spans="2:11" x14ac:dyDescent="0.2">
      <c r="B65" s="257"/>
      <c r="C65" s="270" t="s">
        <v>16</v>
      </c>
      <c r="D65" s="272">
        <v>43906</v>
      </c>
      <c r="E65" s="272">
        <v>44476</v>
      </c>
      <c r="F65" s="267" t="s">
        <v>420</v>
      </c>
      <c r="G65" s="267" t="s">
        <v>421</v>
      </c>
      <c r="H65" s="267" t="str">
        <f t="shared" si="0"/>
        <v>F</v>
      </c>
      <c r="I65" s="266" t="s">
        <v>43</v>
      </c>
      <c r="J65" s="266" t="s">
        <v>43</v>
      </c>
      <c r="K65" s="266" t="str">
        <f t="shared" si="1"/>
        <v>T</v>
      </c>
    </row>
    <row r="66" spans="2:11" x14ac:dyDescent="0.2">
      <c r="B66" s="257"/>
      <c r="C66" s="270" t="s">
        <v>390</v>
      </c>
      <c r="D66" s="272">
        <v>43910</v>
      </c>
      <c r="E66" s="272">
        <v>44209</v>
      </c>
      <c r="F66" s="267" t="s">
        <v>420</v>
      </c>
      <c r="G66" s="267" t="s">
        <v>421</v>
      </c>
      <c r="H66" s="267" t="str">
        <f t="shared" si="0"/>
        <v>F</v>
      </c>
      <c r="I66" s="266" t="s">
        <v>43</v>
      </c>
      <c r="J66" s="266" t="s">
        <v>43</v>
      </c>
      <c r="K66" s="266" t="str">
        <f t="shared" si="1"/>
        <v>T</v>
      </c>
    </row>
    <row r="67" spans="2:11" x14ac:dyDescent="0.2">
      <c r="B67" s="257"/>
      <c r="C67" s="270" t="s">
        <v>36</v>
      </c>
      <c r="D67" s="272">
        <v>43917</v>
      </c>
      <c r="E67" s="272">
        <v>44515</v>
      </c>
      <c r="F67" s="267" t="s">
        <v>421</v>
      </c>
      <c r="G67" s="267" t="s">
        <v>421</v>
      </c>
      <c r="H67" s="267" t="str">
        <f t="shared" si="0"/>
        <v>T</v>
      </c>
      <c r="I67" s="266" t="s">
        <v>43</v>
      </c>
      <c r="J67" s="266" t="s">
        <v>43</v>
      </c>
      <c r="K67" s="266" t="str">
        <f t="shared" si="1"/>
        <v>T</v>
      </c>
    </row>
    <row r="68" spans="2:11" x14ac:dyDescent="0.2">
      <c r="B68" s="257"/>
      <c r="C68" s="270" t="s">
        <v>391</v>
      </c>
      <c r="D68" s="272">
        <v>44011</v>
      </c>
      <c r="E68" s="272">
        <v>44364</v>
      </c>
      <c r="F68" s="267" t="s">
        <v>421</v>
      </c>
      <c r="G68" s="267" t="s">
        <v>421</v>
      </c>
      <c r="H68" s="267" t="str">
        <f t="shared" si="0"/>
        <v>T</v>
      </c>
      <c r="I68" s="266" t="s">
        <v>43</v>
      </c>
      <c r="J68" s="266" t="s">
        <v>43</v>
      </c>
      <c r="K68" s="266" t="str">
        <f t="shared" si="1"/>
        <v>T</v>
      </c>
    </row>
    <row r="69" spans="2:11" x14ac:dyDescent="0.2">
      <c r="B69" s="257"/>
      <c r="C69" s="270" t="s">
        <v>392</v>
      </c>
      <c r="D69" s="272">
        <v>44098</v>
      </c>
      <c r="E69" s="272">
        <v>44537</v>
      </c>
      <c r="F69" s="267" t="s">
        <v>421</v>
      </c>
      <c r="G69" s="267" t="s">
        <v>421</v>
      </c>
      <c r="H69" s="267" t="str">
        <f t="shared" si="0"/>
        <v>T</v>
      </c>
      <c r="I69" s="266" t="s">
        <v>43</v>
      </c>
      <c r="J69" s="266" t="s">
        <v>43</v>
      </c>
      <c r="K69" s="266" t="str">
        <f t="shared" si="1"/>
        <v>T</v>
      </c>
    </row>
    <row r="70" spans="2:11" x14ac:dyDescent="0.2">
      <c r="B70" s="257"/>
      <c r="C70" s="270" t="s">
        <v>11</v>
      </c>
      <c r="D70" s="272">
        <v>44153</v>
      </c>
      <c r="E70" s="272">
        <v>44679</v>
      </c>
      <c r="F70" s="267" t="s">
        <v>421</v>
      </c>
      <c r="G70" s="267" t="s">
        <v>421</v>
      </c>
      <c r="H70" s="267" t="str">
        <f t="shared" si="0"/>
        <v>T</v>
      </c>
      <c r="I70" s="266" t="s">
        <v>43</v>
      </c>
      <c r="J70" s="266" t="s">
        <v>43</v>
      </c>
      <c r="K70" s="266" t="str">
        <f t="shared" si="1"/>
        <v>T</v>
      </c>
    </row>
    <row r="71" spans="2:11" x14ac:dyDescent="0.2">
      <c r="B71" s="257"/>
      <c r="C71" s="270" t="s">
        <v>393</v>
      </c>
      <c r="D71" s="272">
        <v>44169</v>
      </c>
      <c r="E71" s="272">
        <v>44457</v>
      </c>
      <c r="F71" s="267" t="s">
        <v>421</v>
      </c>
      <c r="G71" s="267" t="s">
        <v>421</v>
      </c>
      <c r="H71" s="267" t="str">
        <f t="shared" si="0"/>
        <v>T</v>
      </c>
      <c r="I71" s="266" t="s">
        <v>43</v>
      </c>
      <c r="J71" s="266" t="s">
        <v>43</v>
      </c>
      <c r="K71" s="266" t="str">
        <f t="shared" si="1"/>
        <v>T</v>
      </c>
    </row>
    <row r="72" spans="2:11" x14ac:dyDescent="0.2">
      <c r="B72" s="257"/>
      <c r="C72" s="270" t="s">
        <v>68</v>
      </c>
      <c r="D72" s="272">
        <v>44299</v>
      </c>
      <c r="E72" s="272">
        <v>44679</v>
      </c>
      <c r="F72" s="267" t="s">
        <v>421</v>
      </c>
      <c r="G72" s="267" t="s">
        <v>421</v>
      </c>
      <c r="H72" s="267" t="str">
        <f t="shared" si="0"/>
        <v>T</v>
      </c>
      <c r="I72" s="266" t="s">
        <v>43</v>
      </c>
      <c r="J72" s="266" t="s">
        <v>43</v>
      </c>
      <c r="K72" s="266" t="str">
        <f t="shared" si="1"/>
        <v>T</v>
      </c>
    </row>
    <row r="73" spans="2:11" x14ac:dyDescent="0.2">
      <c r="B73" s="257"/>
      <c r="C73" s="270" t="s">
        <v>18</v>
      </c>
      <c r="D73" s="272">
        <v>44498</v>
      </c>
      <c r="E73" s="272">
        <v>45433</v>
      </c>
      <c r="F73" s="267" t="s">
        <v>421</v>
      </c>
      <c r="G73" s="267" t="s">
        <v>421</v>
      </c>
      <c r="H73" s="267" t="str">
        <f t="shared" ref="H73:H140" si="2">IF(F73=G73,"T","F")</f>
        <v>T</v>
      </c>
      <c r="I73" s="266" t="s">
        <v>43</v>
      </c>
      <c r="J73" s="266" t="s">
        <v>43</v>
      </c>
      <c r="K73" s="266" t="str">
        <f t="shared" ref="K73:K140" si="3">IF(I73=J73,"T","F")</f>
        <v>T</v>
      </c>
    </row>
    <row r="74" spans="2:11" x14ac:dyDescent="0.2">
      <c r="B74" s="257"/>
      <c r="C74" s="270" t="s">
        <v>20</v>
      </c>
      <c r="D74" s="272">
        <v>44529</v>
      </c>
      <c r="E74" s="272">
        <v>45482</v>
      </c>
      <c r="F74" s="267" t="s">
        <v>421</v>
      </c>
      <c r="G74" s="267" t="s">
        <v>421</v>
      </c>
      <c r="H74" s="267" t="str">
        <f t="shared" si="2"/>
        <v>T</v>
      </c>
      <c r="I74" s="266" t="s">
        <v>43</v>
      </c>
      <c r="J74" s="266" t="s">
        <v>43</v>
      </c>
      <c r="K74" s="266" t="str">
        <f t="shared" si="3"/>
        <v>T</v>
      </c>
    </row>
    <row r="75" spans="2:11" x14ac:dyDescent="0.2">
      <c r="B75" s="257"/>
      <c r="C75" s="270" t="s">
        <v>22</v>
      </c>
      <c r="D75" s="272">
        <v>44557</v>
      </c>
      <c r="E75" s="272">
        <v>45028</v>
      </c>
      <c r="F75" s="267" t="s">
        <v>420</v>
      </c>
      <c r="G75" s="267" t="s">
        <v>421</v>
      </c>
      <c r="H75" s="267" t="str">
        <f t="shared" si="2"/>
        <v>F</v>
      </c>
      <c r="I75" s="266" t="s">
        <v>45</v>
      </c>
      <c r="J75" s="266" t="s">
        <v>43</v>
      </c>
      <c r="K75" s="266" t="str">
        <f t="shared" si="3"/>
        <v>F</v>
      </c>
    </row>
    <row r="76" spans="2:11" x14ac:dyDescent="0.2">
      <c r="B76" s="257"/>
      <c r="C76" s="270" t="s">
        <v>27</v>
      </c>
      <c r="D76" s="272">
        <v>44585</v>
      </c>
      <c r="E76" s="272">
        <v>45012</v>
      </c>
      <c r="F76" s="267" t="s">
        <v>420</v>
      </c>
      <c r="G76" s="267" t="s">
        <v>421</v>
      </c>
      <c r="H76" s="267" t="str">
        <f t="shared" si="2"/>
        <v>F</v>
      </c>
      <c r="I76" s="266" t="s">
        <v>43</v>
      </c>
      <c r="J76" s="266" t="s">
        <v>43</v>
      </c>
      <c r="K76" s="266" t="str">
        <f t="shared" si="3"/>
        <v>T</v>
      </c>
    </row>
    <row r="77" spans="2:11" x14ac:dyDescent="0.2">
      <c r="B77" s="257"/>
      <c r="C77" s="270" t="s">
        <v>38</v>
      </c>
      <c r="D77" s="272">
        <v>44640</v>
      </c>
      <c r="E77" s="272">
        <v>45485</v>
      </c>
      <c r="F77" s="267" t="s">
        <v>421</v>
      </c>
      <c r="G77" s="267" t="s">
        <v>421</v>
      </c>
      <c r="H77" s="267" t="str">
        <f t="shared" si="2"/>
        <v>T</v>
      </c>
      <c r="I77" s="266" t="s">
        <v>43</v>
      </c>
      <c r="J77" s="266" t="s">
        <v>43</v>
      </c>
      <c r="K77" s="266" t="str">
        <f t="shared" si="3"/>
        <v>T</v>
      </c>
    </row>
    <row r="78" spans="2:11" x14ac:dyDescent="0.2">
      <c r="B78" s="257"/>
      <c r="C78" s="270" t="s">
        <v>25</v>
      </c>
      <c r="D78" s="272">
        <v>44664</v>
      </c>
      <c r="E78" s="272">
        <v>45519</v>
      </c>
      <c r="F78" s="267" t="s">
        <v>421</v>
      </c>
      <c r="G78" s="267" t="s">
        <v>421</v>
      </c>
      <c r="H78" s="267" t="str">
        <f t="shared" si="2"/>
        <v>T</v>
      </c>
      <c r="I78" s="266" t="s">
        <v>43</v>
      </c>
      <c r="J78" s="266" t="s">
        <v>43</v>
      </c>
      <c r="K78" s="266" t="str">
        <f t="shared" si="3"/>
        <v>T</v>
      </c>
    </row>
    <row r="79" spans="2:11" x14ac:dyDescent="0.2">
      <c r="B79" s="257"/>
      <c r="C79" s="270" t="s">
        <v>26</v>
      </c>
      <c r="D79" s="272">
        <v>44694</v>
      </c>
      <c r="E79" s="272">
        <v>45367</v>
      </c>
      <c r="F79" s="267" t="s">
        <v>421</v>
      </c>
      <c r="G79" s="267" t="s">
        <v>421</v>
      </c>
      <c r="H79" s="267" t="str">
        <f t="shared" si="2"/>
        <v>T</v>
      </c>
      <c r="I79" s="266" t="s">
        <v>43</v>
      </c>
      <c r="J79" s="266" t="s">
        <v>43</v>
      </c>
      <c r="K79" s="266" t="str">
        <f t="shared" si="3"/>
        <v>T</v>
      </c>
    </row>
    <row r="80" spans="2:11" x14ac:dyDescent="0.2">
      <c r="B80" s="257"/>
      <c r="C80" s="270" t="s">
        <v>28</v>
      </c>
      <c r="D80" s="272">
        <v>44803</v>
      </c>
      <c r="E80" s="272">
        <v>45353</v>
      </c>
      <c r="F80" s="267" t="s">
        <v>421</v>
      </c>
      <c r="G80" s="267" t="s">
        <v>421</v>
      </c>
      <c r="H80" s="267" t="str">
        <f t="shared" si="2"/>
        <v>T</v>
      </c>
      <c r="I80" s="266" t="s">
        <v>43</v>
      </c>
      <c r="J80" s="266" t="s">
        <v>43</v>
      </c>
      <c r="K80" s="266" t="str">
        <f t="shared" si="3"/>
        <v>T</v>
      </c>
    </row>
    <row r="81" spans="2:11" x14ac:dyDescent="0.2">
      <c r="B81" s="257"/>
      <c r="C81" s="270" t="s">
        <v>29</v>
      </c>
      <c r="D81" s="272">
        <v>44841</v>
      </c>
      <c r="E81" s="272">
        <v>45457</v>
      </c>
      <c r="F81" s="267" t="s">
        <v>421</v>
      </c>
      <c r="G81" s="267" t="s">
        <v>421</v>
      </c>
      <c r="H81" s="267" t="str">
        <f t="shared" si="2"/>
        <v>T</v>
      </c>
      <c r="I81" s="266" t="s">
        <v>43</v>
      </c>
      <c r="J81" s="266" t="s">
        <v>43</v>
      </c>
      <c r="K81" s="266" t="str">
        <f t="shared" si="3"/>
        <v>T</v>
      </c>
    </row>
    <row r="82" spans="2:11" x14ac:dyDescent="0.2">
      <c r="B82" s="257"/>
      <c r="C82" s="270" t="s">
        <v>31</v>
      </c>
      <c r="D82" s="272">
        <v>45138</v>
      </c>
      <c r="E82" s="272">
        <v>45428</v>
      </c>
      <c r="F82" s="267" t="s">
        <v>421</v>
      </c>
      <c r="G82" s="267" t="s">
        <v>421</v>
      </c>
      <c r="H82" s="267" t="str">
        <f t="shared" si="2"/>
        <v>T</v>
      </c>
      <c r="I82" s="266" t="s">
        <v>43</v>
      </c>
      <c r="J82" s="266" t="s">
        <v>43</v>
      </c>
      <c r="K82" s="266" t="str">
        <f t="shared" si="3"/>
        <v>T</v>
      </c>
    </row>
    <row r="83" spans="2:11" x14ac:dyDescent="0.2">
      <c r="B83" s="257"/>
      <c r="C83" s="270" t="s">
        <v>32</v>
      </c>
      <c r="D83" s="272">
        <v>45208</v>
      </c>
      <c r="E83" s="272">
        <v>45536</v>
      </c>
      <c r="F83" s="267" t="s">
        <v>421</v>
      </c>
      <c r="G83" s="267" t="s">
        <v>421</v>
      </c>
      <c r="H83" s="267" t="str">
        <f t="shared" si="2"/>
        <v>T</v>
      </c>
      <c r="I83" s="266" t="s">
        <v>43</v>
      </c>
      <c r="J83" s="266" t="s">
        <v>43</v>
      </c>
      <c r="K83" s="266" t="str">
        <f t="shared" si="3"/>
        <v>T</v>
      </c>
    </row>
    <row r="84" spans="2:11" x14ac:dyDescent="0.2">
      <c r="B84" s="257"/>
      <c r="C84" s="270" t="s">
        <v>33</v>
      </c>
      <c r="D84" s="272">
        <v>45215</v>
      </c>
      <c r="E84" s="272">
        <v>45536</v>
      </c>
      <c r="F84" s="267" t="s">
        <v>421</v>
      </c>
      <c r="G84" s="267" t="s">
        <v>421</v>
      </c>
      <c r="H84" s="267" t="str">
        <f t="shared" si="2"/>
        <v>T</v>
      </c>
      <c r="I84" s="266" t="s">
        <v>43</v>
      </c>
      <c r="J84" s="266" t="s">
        <v>43</v>
      </c>
      <c r="K84" s="266" t="str">
        <f t="shared" si="3"/>
        <v>T</v>
      </c>
    </row>
    <row r="85" spans="2:11" x14ac:dyDescent="0.2">
      <c r="B85" s="252"/>
      <c r="C85" s="273" t="s">
        <v>414</v>
      </c>
      <c r="D85" s="274">
        <v>43906</v>
      </c>
      <c r="E85" s="274">
        <v>45530</v>
      </c>
      <c r="F85" s="275" t="s">
        <v>57</v>
      </c>
      <c r="G85" s="275" t="s">
        <v>57</v>
      </c>
      <c r="H85" s="275" t="s">
        <v>57</v>
      </c>
      <c r="I85" s="275" t="s">
        <v>57</v>
      </c>
      <c r="J85" s="275" t="s">
        <v>57</v>
      </c>
      <c r="K85" s="275" t="s">
        <v>57</v>
      </c>
    </row>
    <row r="86" spans="2:11" x14ac:dyDescent="0.2">
      <c r="B86" s="276" t="s">
        <v>69</v>
      </c>
      <c r="C86" s="270" t="s">
        <v>15</v>
      </c>
      <c r="D86" s="272">
        <v>43893</v>
      </c>
      <c r="E86" s="272">
        <v>44971</v>
      </c>
      <c r="F86" s="267" t="s">
        <v>420</v>
      </c>
      <c r="G86" s="267" t="s">
        <v>421</v>
      </c>
      <c r="H86" s="267" t="str">
        <f t="shared" si="2"/>
        <v>F</v>
      </c>
      <c r="I86" s="266" t="s">
        <v>45</v>
      </c>
      <c r="J86" s="266" t="s">
        <v>43</v>
      </c>
      <c r="K86" s="266" t="str">
        <f t="shared" si="3"/>
        <v>F</v>
      </c>
    </row>
    <row r="87" spans="2:11" x14ac:dyDescent="0.2">
      <c r="B87" s="257"/>
      <c r="C87" s="270" t="s">
        <v>70</v>
      </c>
      <c r="D87" s="272">
        <v>43903</v>
      </c>
      <c r="E87" s="272">
        <v>44702</v>
      </c>
      <c r="F87" s="267" t="s">
        <v>420</v>
      </c>
      <c r="G87" s="267" t="s">
        <v>421</v>
      </c>
      <c r="H87" s="267" t="str">
        <f t="shared" si="2"/>
        <v>F</v>
      </c>
      <c r="I87" s="266" t="s">
        <v>45</v>
      </c>
      <c r="J87" s="266" t="s">
        <v>43</v>
      </c>
      <c r="K87" s="266" t="str">
        <f t="shared" si="3"/>
        <v>F</v>
      </c>
    </row>
    <row r="88" spans="2:11" x14ac:dyDescent="0.2">
      <c r="B88" s="257"/>
      <c r="C88" s="270" t="s">
        <v>36</v>
      </c>
      <c r="D88" s="272">
        <v>43904</v>
      </c>
      <c r="E88" s="272">
        <v>44601</v>
      </c>
      <c r="F88" s="267" t="s">
        <v>421</v>
      </c>
      <c r="G88" s="267" t="s">
        <v>421</v>
      </c>
      <c r="H88" s="267" t="str">
        <f t="shared" si="2"/>
        <v>T</v>
      </c>
      <c r="I88" s="266" t="s">
        <v>43</v>
      </c>
      <c r="J88" s="266" t="s">
        <v>43</v>
      </c>
      <c r="K88" s="266" t="str">
        <f t="shared" si="3"/>
        <v>T</v>
      </c>
    </row>
    <row r="89" spans="2:11" x14ac:dyDescent="0.2">
      <c r="B89" s="257"/>
      <c r="C89" s="270" t="s">
        <v>20</v>
      </c>
      <c r="D89" s="272">
        <v>43918</v>
      </c>
      <c r="E89" s="272">
        <v>45412</v>
      </c>
      <c r="F89" s="267" t="s">
        <v>421</v>
      </c>
      <c r="G89" s="267" t="s">
        <v>421</v>
      </c>
      <c r="H89" s="267" t="str">
        <f t="shared" si="2"/>
        <v>T</v>
      </c>
      <c r="I89" s="266" t="s">
        <v>43</v>
      </c>
      <c r="J89" s="266" t="s">
        <v>43</v>
      </c>
      <c r="K89" s="266" t="str">
        <f t="shared" si="3"/>
        <v>T</v>
      </c>
    </row>
    <row r="90" spans="2:11" x14ac:dyDescent="0.2">
      <c r="B90" s="257"/>
      <c r="C90" s="270" t="s">
        <v>28</v>
      </c>
      <c r="D90" s="272">
        <v>44119</v>
      </c>
      <c r="E90" s="272">
        <v>45428</v>
      </c>
      <c r="F90" s="267" t="s">
        <v>420</v>
      </c>
      <c r="G90" s="267" t="s">
        <v>421</v>
      </c>
      <c r="H90" s="267" t="str">
        <f t="shared" si="2"/>
        <v>F</v>
      </c>
      <c r="I90" s="266" t="s">
        <v>45</v>
      </c>
      <c r="J90" s="266" t="s">
        <v>43</v>
      </c>
      <c r="K90" s="266" t="str">
        <f t="shared" si="3"/>
        <v>F</v>
      </c>
    </row>
    <row r="91" spans="2:11" x14ac:dyDescent="0.2">
      <c r="B91" s="257"/>
      <c r="C91" s="270" t="s">
        <v>14</v>
      </c>
      <c r="D91" s="272">
        <v>44208</v>
      </c>
      <c r="E91" s="272">
        <v>44763</v>
      </c>
      <c r="F91" s="267" t="s">
        <v>421</v>
      </c>
      <c r="G91" s="267" t="s">
        <v>421</v>
      </c>
      <c r="H91" s="267" t="str">
        <f t="shared" si="2"/>
        <v>T</v>
      </c>
      <c r="I91" s="266" t="s">
        <v>43</v>
      </c>
      <c r="J91" s="266" t="s">
        <v>43</v>
      </c>
      <c r="K91" s="266" t="str">
        <f t="shared" si="3"/>
        <v>T</v>
      </c>
    </row>
    <row r="92" spans="2:11" x14ac:dyDescent="0.2">
      <c r="B92" s="257"/>
      <c r="C92" s="270" t="s">
        <v>9</v>
      </c>
      <c r="D92" s="272">
        <v>44292</v>
      </c>
      <c r="E92" s="272">
        <v>44699</v>
      </c>
      <c r="F92" s="267" t="s">
        <v>420</v>
      </c>
      <c r="G92" s="267" t="s">
        <v>421</v>
      </c>
      <c r="H92" s="267" t="str">
        <f t="shared" si="2"/>
        <v>F</v>
      </c>
      <c r="I92" s="266" t="s">
        <v>43</v>
      </c>
      <c r="J92" s="266" t="s">
        <v>43</v>
      </c>
      <c r="K92" s="266" t="str">
        <f t="shared" si="3"/>
        <v>T</v>
      </c>
    </row>
    <row r="93" spans="2:11" x14ac:dyDescent="0.2">
      <c r="B93" s="257"/>
      <c r="C93" s="270" t="s">
        <v>10</v>
      </c>
      <c r="D93" s="272">
        <v>44319</v>
      </c>
      <c r="E93" s="272">
        <v>44813</v>
      </c>
      <c r="F93" s="267" t="s">
        <v>421</v>
      </c>
      <c r="G93" s="267" t="s">
        <v>421</v>
      </c>
      <c r="H93" s="267" t="str">
        <f t="shared" si="2"/>
        <v>T</v>
      </c>
      <c r="I93" s="266" t="s">
        <v>43</v>
      </c>
      <c r="J93" s="266" t="s">
        <v>43</v>
      </c>
      <c r="K93" s="266" t="str">
        <f t="shared" si="3"/>
        <v>T</v>
      </c>
    </row>
    <row r="94" spans="2:11" x14ac:dyDescent="0.2">
      <c r="B94" s="257"/>
      <c r="C94" s="270" t="s">
        <v>24</v>
      </c>
      <c r="D94" s="272">
        <v>44333</v>
      </c>
      <c r="E94" s="272">
        <v>45186</v>
      </c>
      <c r="F94" s="267" t="s">
        <v>421</v>
      </c>
      <c r="G94" s="267" t="s">
        <v>421</v>
      </c>
      <c r="H94" s="267" t="str">
        <f t="shared" si="2"/>
        <v>T</v>
      </c>
      <c r="I94" s="266" t="s">
        <v>43</v>
      </c>
      <c r="J94" s="266" t="s">
        <v>43</v>
      </c>
      <c r="K94" s="266" t="str">
        <f t="shared" si="3"/>
        <v>T</v>
      </c>
    </row>
    <row r="95" spans="2:11" x14ac:dyDescent="0.2">
      <c r="B95" s="257"/>
      <c r="C95" s="270" t="s">
        <v>25</v>
      </c>
      <c r="D95" s="272">
        <v>44515</v>
      </c>
      <c r="E95" s="272">
        <v>45177</v>
      </c>
      <c r="F95" s="267" t="s">
        <v>420</v>
      </c>
      <c r="G95" s="267" t="s">
        <v>421</v>
      </c>
      <c r="H95" s="267" t="str">
        <f t="shared" si="2"/>
        <v>F</v>
      </c>
      <c r="I95" s="266" t="s">
        <v>45</v>
      </c>
      <c r="J95" s="266" t="s">
        <v>43</v>
      </c>
      <c r="K95" s="266" t="str">
        <f t="shared" si="3"/>
        <v>F</v>
      </c>
    </row>
    <row r="96" spans="2:11" x14ac:dyDescent="0.2">
      <c r="B96" s="257"/>
      <c r="C96" s="270" t="s">
        <v>38</v>
      </c>
      <c r="D96" s="272">
        <v>44612</v>
      </c>
      <c r="E96" s="272">
        <v>45317</v>
      </c>
      <c r="F96" s="267" t="s">
        <v>420</v>
      </c>
      <c r="G96" s="267" t="s">
        <v>421</v>
      </c>
      <c r="H96" s="267" t="str">
        <f t="shared" si="2"/>
        <v>F</v>
      </c>
      <c r="I96" s="266" t="s">
        <v>43</v>
      </c>
      <c r="J96" s="266" t="s">
        <v>43</v>
      </c>
      <c r="K96" s="266" t="str">
        <f t="shared" si="3"/>
        <v>T</v>
      </c>
    </row>
    <row r="97" spans="2:11" x14ac:dyDescent="0.2">
      <c r="B97" s="257"/>
      <c r="C97" s="270" t="s">
        <v>32</v>
      </c>
      <c r="D97" s="272">
        <v>44929</v>
      </c>
      <c r="E97" s="272">
        <v>45514</v>
      </c>
      <c r="F97" s="267" t="s">
        <v>421</v>
      </c>
      <c r="G97" s="267" t="s">
        <v>421</v>
      </c>
      <c r="H97" s="267" t="str">
        <f t="shared" si="2"/>
        <v>T</v>
      </c>
      <c r="I97" s="266" t="s">
        <v>43</v>
      </c>
      <c r="J97" s="266" t="s">
        <v>43</v>
      </c>
      <c r="K97" s="266" t="str">
        <f t="shared" si="3"/>
        <v>T</v>
      </c>
    </row>
    <row r="98" spans="2:11" x14ac:dyDescent="0.2">
      <c r="B98" s="257"/>
      <c r="C98" s="270" t="s">
        <v>165</v>
      </c>
      <c r="D98" s="272">
        <v>44930</v>
      </c>
      <c r="E98" s="272">
        <v>45514</v>
      </c>
      <c r="F98" s="267" t="s">
        <v>420</v>
      </c>
      <c r="G98" s="267" t="s">
        <v>421</v>
      </c>
      <c r="H98" s="267" t="str">
        <f t="shared" si="2"/>
        <v>F</v>
      </c>
      <c r="I98" s="266" t="s">
        <v>45</v>
      </c>
      <c r="J98" s="266" t="s">
        <v>43</v>
      </c>
      <c r="K98" s="266" t="str">
        <f t="shared" si="3"/>
        <v>F</v>
      </c>
    </row>
    <row r="99" spans="2:11" x14ac:dyDescent="0.2">
      <c r="B99" s="257"/>
      <c r="C99" s="270" t="s">
        <v>37</v>
      </c>
      <c r="D99" s="272">
        <v>44962</v>
      </c>
      <c r="E99" s="272">
        <v>45286</v>
      </c>
      <c r="F99" s="267" t="s">
        <v>421</v>
      </c>
      <c r="G99" s="267" t="s">
        <v>421</v>
      </c>
      <c r="H99" s="267" t="str">
        <f t="shared" si="2"/>
        <v>T</v>
      </c>
      <c r="I99" s="266" t="s">
        <v>43</v>
      </c>
      <c r="J99" s="266" t="s">
        <v>43</v>
      </c>
      <c r="K99" s="266" t="str">
        <f t="shared" si="3"/>
        <v>T</v>
      </c>
    </row>
    <row r="100" spans="2:11" x14ac:dyDescent="0.2">
      <c r="B100" s="252"/>
      <c r="C100" s="273" t="s">
        <v>425</v>
      </c>
      <c r="D100" s="274">
        <v>43892</v>
      </c>
      <c r="E100" s="274">
        <v>45475</v>
      </c>
      <c r="F100" s="275" t="s">
        <v>57</v>
      </c>
      <c r="G100" s="275" t="s">
        <v>57</v>
      </c>
      <c r="H100" s="275" t="s">
        <v>57</v>
      </c>
      <c r="I100" s="275" t="s">
        <v>57</v>
      </c>
      <c r="J100" s="275" t="s">
        <v>57</v>
      </c>
      <c r="K100" s="275" t="s">
        <v>57</v>
      </c>
    </row>
    <row r="101" spans="2:11" x14ac:dyDescent="0.2">
      <c r="B101" s="276" t="s">
        <v>72</v>
      </c>
      <c r="C101" s="270" t="s">
        <v>10</v>
      </c>
      <c r="D101" s="272">
        <v>44154</v>
      </c>
      <c r="E101" s="272">
        <v>44641</v>
      </c>
      <c r="F101" s="267" t="s">
        <v>420</v>
      </c>
      <c r="G101" s="267" t="s">
        <v>421</v>
      </c>
      <c r="H101" s="267" t="str">
        <f t="shared" si="2"/>
        <v>F</v>
      </c>
      <c r="I101" s="266" t="s">
        <v>43</v>
      </c>
      <c r="J101" s="266" t="s">
        <v>43</v>
      </c>
      <c r="K101" s="266" t="str">
        <f t="shared" si="3"/>
        <v>T</v>
      </c>
    </row>
    <row r="102" spans="2:11" x14ac:dyDescent="0.2">
      <c r="B102" s="257"/>
      <c r="C102" s="270" t="s">
        <v>20</v>
      </c>
      <c r="D102" s="272">
        <v>44280</v>
      </c>
      <c r="E102" s="272">
        <v>45383</v>
      </c>
      <c r="F102" s="267" t="s">
        <v>421</v>
      </c>
      <c r="G102" s="267" t="s">
        <v>421</v>
      </c>
      <c r="H102" s="267" t="str">
        <f t="shared" si="2"/>
        <v>T</v>
      </c>
      <c r="I102" s="266" t="s">
        <v>43</v>
      </c>
      <c r="J102" s="266" t="s">
        <v>43</v>
      </c>
      <c r="K102" s="266" t="str">
        <f t="shared" si="3"/>
        <v>T</v>
      </c>
    </row>
    <row r="103" spans="2:11" x14ac:dyDescent="0.2">
      <c r="B103" s="257"/>
      <c r="C103" s="270" t="s">
        <v>13</v>
      </c>
      <c r="D103" s="272">
        <v>44344</v>
      </c>
      <c r="E103" s="272">
        <v>44599</v>
      </c>
      <c r="F103" s="267" t="s">
        <v>421</v>
      </c>
      <c r="G103" s="267" t="s">
        <v>421</v>
      </c>
      <c r="H103" s="267" t="str">
        <f t="shared" si="2"/>
        <v>T</v>
      </c>
      <c r="I103" s="266" t="s">
        <v>43</v>
      </c>
      <c r="J103" s="266" t="s">
        <v>43</v>
      </c>
      <c r="K103" s="266" t="str">
        <f t="shared" si="3"/>
        <v>T</v>
      </c>
    </row>
    <row r="104" spans="2:11" x14ac:dyDescent="0.2">
      <c r="B104" s="257"/>
      <c r="C104" s="270" t="s">
        <v>14</v>
      </c>
      <c r="D104" s="272">
        <v>44369</v>
      </c>
      <c r="E104" s="272">
        <v>44613</v>
      </c>
      <c r="F104" s="267" t="s">
        <v>421</v>
      </c>
      <c r="G104" s="267" t="s">
        <v>421</v>
      </c>
      <c r="H104" s="267" t="str">
        <f t="shared" si="2"/>
        <v>T</v>
      </c>
      <c r="I104" s="266" t="s">
        <v>45</v>
      </c>
      <c r="J104" s="266" t="s">
        <v>43</v>
      </c>
      <c r="K104" s="266" t="str">
        <f t="shared" si="3"/>
        <v>F</v>
      </c>
    </row>
    <row r="105" spans="2:11" x14ac:dyDescent="0.2">
      <c r="B105" s="257"/>
      <c r="C105" s="270" t="s">
        <v>23</v>
      </c>
      <c r="D105" s="272">
        <v>44544</v>
      </c>
      <c r="E105" s="272">
        <v>45272</v>
      </c>
      <c r="F105" s="267" t="s">
        <v>421</v>
      </c>
      <c r="G105" s="267" t="s">
        <v>421</v>
      </c>
      <c r="H105" s="267" t="str">
        <f t="shared" si="2"/>
        <v>T</v>
      </c>
      <c r="I105" s="266" t="s">
        <v>43</v>
      </c>
      <c r="J105" s="266" t="s">
        <v>43</v>
      </c>
      <c r="K105" s="266" t="str">
        <f t="shared" si="3"/>
        <v>T</v>
      </c>
    </row>
    <row r="106" spans="2:11" x14ac:dyDescent="0.2">
      <c r="B106" s="257"/>
      <c r="C106" s="270" t="s">
        <v>28</v>
      </c>
      <c r="D106" s="272">
        <v>44572</v>
      </c>
      <c r="E106" s="272">
        <v>45300</v>
      </c>
      <c r="F106" s="267" t="s">
        <v>421</v>
      </c>
      <c r="G106" s="267" t="s">
        <v>421</v>
      </c>
      <c r="H106" s="267" t="str">
        <f t="shared" si="2"/>
        <v>T</v>
      </c>
      <c r="I106" s="266" t="s">
        <v>43</v>
      </c>
      <c r="J106" s="266" t="s">
        <v>43</v>
      </c>
      <c r="K106" s="266" t="str">
        <f t="shared" si="3"/>
        <v>T</v>
      </c>
    </row>
    <row r="107" spans="2:11" x14ac:dyDescent="0.2">
      <c r="B107" s="257"/>
      <c r="C107" s="270" t="s">
        <v>25</v>
      </c>
      <c r="D107" s="272">
        <v>44678</v>
      </c>
      <c r="E107" s="272">
        <v>45432</v>
      </c>
      <c r="F107" s="267" t="s">
        <v>421</v>
      </c>
      <c r="G107" s="267" t="s">
        <v>421</v>
      </c>
      <c r="H107" s="267" t="str">
        <f t="shared" si="2"/>
        <v>T</v>
      </c>
      <c r="I107" s="266" t="s">
        <v>43</v>
      </c>
      <c r="J107" s="266" t="s">
        <v>43</v>
      </c>
      <c r="K107" s="266" t="str">
        <f t="shared" si="3"/>
        <v>T</v>
      </c>
    </row>
    <row r="108" spans="2:11" x14ac:dyDescent="0.2">
      <c r="B108" s="257"/>
      <c r="C108" s="270" t="s">
        <v>24</v>
      </c>
      <c r="D108" s="272">
        <v>44685</v>
      </c>
      <c r="E108" s="272">
        <v>45115</v>
      </c>
      <c r="F108" s="267" t="s">
        <v>421</v>
      </c>
      <c r="G108" s="267" t="s">
        <v>421</v>
      </c>
      <c r="H108" s="267" t="str">
        <f t="shared" si="2"/>
        <v>T</v>
      </c>
      <c r="I108" s="266" t="s">
        <v>43</v>
      </c>
      <c r="J108" s="266" t="s">
        <v>43</v>
      </c>
      <c r="K108" s="266" t="str">
        <f t="shared" si="3"/>
        <v>T</v>
      </c>
    </row>
    <row r="109" spans="2:11" x14ac:dyDescent="0.2">
      <c r="B109" s="257"/>
      <c r="C109" s="270" t="s">
        <v>38</v>
      </c>
      <c r="D109" s="272">
        <v>44889</v>
      </c>
      <c r="E109" s="272">
        <v>45417</v>
      </c>
      <c r="F109" s="267" t="s">
        <v>420</v>
      </c>
      <c r="G109" s="267" t="s">
        <v>421</v>
      </c>
      <c r="H109" s="267" t="str">
        <f t="shared" si="2"/>
        <v>F</v>
      </c>
      <c r="I109" s="266" t="s">
        <v>43</v>
      </c>
      <c r="J109" s="266" t="s">
        <v>43</v>
      </c>
      <c r="K109" s="266" t="str">
        <f t="shared" si="3"/>
        <v>T</v>
      </c>
    </row>
    <row r="110" spans="2:11" x14ac:dyDescent="0.2">
      <c r="B110" s="257"/>
      <c r="C110" s="270" t="s">
        <v>32</v>
      </c>
      <c r="D110" s="272">
        <v>44928</v>
      </c>
      <c r="E110" s="272">
        <v>45522</v>
      </c>
      <c r="F110" s="267" t="s">
        <v>420</v>
      </c>
      <c r="G110" s="267" t="s">
        <v>421</v>
      </c>
      <c r="H110" s="267" t="str">
        <f t="shared" si="2"/>
        <v>F</v>
      </c>
      <c r="I110" s="266" t="s">
        <v>43</v>
      </c>
      <c r="J110" s="266" t="s">
        <v>43</v>
      </c>
      <c r="K110" s="266" t="str">
        <f t="shared" si="3"/>
        <v>T</v>
      </c>
    </row>
    <row r="111" spans="2:11" x14ac:dyDescent="0.2">
      <c r="B111" s="257"/>
      <c r="C111" s="270" t="s">
        <v>33</v>
      </c>
      <c r="D111" s="272">
        <v>45231</v>
      </c>
      <c r="E111" s="272">
        <v>45520</v>
      </c>
      <c r="F111" s="267" t="s">
        <v>421</v>
      </c>
      <c r="G111" s="267" t="s">
        <v>421</v>
      </c>
      <c r="H111" s="267" t="str">
        <f t="shared" si="2"/>
        <v>T</v>
      </c>
      <c r="I111" s="266" t="s">
        <v>43</v>
      </c>
      <c r="J111" s="266" t="s">
        <v>43</v>
      </c>
      <c r="K111" s="266" t="str">
        <f t="shared" si="3"/>
        <v>T</v>
      </c>
    </row>
    <row r="112" spans="2:11" x14ac:dyDescent="0.2">
      <c r="B112" s="252"/>
      <c r="C112" s="273" t="s">
        <v>426</v>
      </c>
      <c r="D112" s="274">
        <v>43913</v>
      </c>
      <c r="E112" s="274">
        <v>45492</v>
      </c>
      <c r="F112" s="275" t="s">
        <v>57</v>
      </c>
      <c r="G112" s="275" t="s">
        <v>57</v>
      </c>
      <c r="H112" s="275" t="s">
        <v>57</v>
      </c>
      <c r="I112" s="275" t="s">
        <v>57</v>
      </c>
      <c r="J112" s="275" t="s">
        <v>57</v>
      </c>
      <c r="K112" s="275" t="s">
        <v>57</v>
      </c>
    </row>
    <row r="113" spans="2:11" x14ac:dyDescent="0.2">
      <c r="B113" s="276" t="s">
        <v>73</v>
      </c>
      <c r="C113" s="270" t="s">
        <v>15</v>
      </c>
      <c r="D113" s="272">
        <v>43892</v>
      </c>
      <c r="E113" s="272">
        <v>45002</v>
      </c>
      <c r="F113" s="267" t="s">
        <v>420</v>
      </c>
      <c r="G113" s="267" t="s">
        <v>421</v>
      </c>
      <c r="H113" s="267" t="str">
        <f t="shared" si="2"/>
        <v>F</v>
      </c>
      <c r="I113" s="266" t="s">
        <v>43</v>
      </c>
      <c r="J113" s="266" t="s">
        <v>43</v>
      </c>
      <c r="K113" s="266" t="str">
        <f t="shared" si="3"/>
        <v>T</v>
      </c>
    </row>
    <row r="114" spans="2:11" x14ac:dyDescent="0.2">
      <c r="B114" s="257"/>
      <c r="C114" s="270" t="s">
        <v>369</v>
      </c>
      <c r="D114" s="272">
        <v>43892</v>
      </c>
      <c r="E114" s="272">
        <v>44692</v>
      </c>
      <c r="F114" s="267" t="s">
        <v>421</v>
      </c>
      <c r="G114" s="267" t="s">
        <v>421</v>
      </c>
      <c r="H114" s="267" t="str">
        <f t="shared" si="2"/>
        <v>T</v>
      </c>
      <c r="I114" s="266" t="s">
        <v>43</v>
      </c>
      <c r="J114" s="266" t="s">
        <v>43</v>
      </c>
      <c r="K114" s="266" t="str">
        <f t="shared" si="3"/>
        <v>T</v>
      </c>
    </row>
    <row r="115" spans="2:11" x14ac:dyDescent="0.2">
      <c r="B115" s="257"/>
      <c r="C115" s="270" t="s">
        <v>19</v>
      </c>
      <c r="D115" s="272">
        <v>44141</v>
      </c>
      <c r="E115" s="272">
        <v>45154</v>
      </c>
      <c r="F115" s="267" t="s">
        <v>420</v>
      </c>
      <c r="G115" s="267" t="s">
        <v>421</v>
      </c>
      <c r="H115" s="267" t="str">
        <f t="shared" si="2"/>
        <v>F</v>
      </c>
      <c r="I115" s="266" t="s">
        <v>45</v>
      </c>
      <c r="J115" s="266" t="s">
        <v>43</v>
      </c>
      <c r="K115" s="266" t="str">
        <f t="shared" si="3"/>
        <v>F</v>
      </c>
    </row>
    <row r="116" spans="2:11" x14ac:dyDescent="0.2">
      <c r="B116" s="257"/>
      <c r="C116" s="270" t="s">
        <v>13</v>
      </c>
      <c r="D116" s="272">
        <v>44148</v>
      </c>
      <c r="E116" s="272">
        <v>44979</v>
      </c>
      <c r="F116" s="267" t="s">
        <v>421</v>
      </c>
      <c r="G116" s="267" t="s">
        <v>421</v>
      </c>
      <c r="H116" s="267" t="str">
        <f t="shared" si="2"/>
        <v>T</v>
      </c>
      <c r="I116" s="266" t="s">
        <v>43</v>
      </c>
      <c r="J116" s="266" t="s">
        <v>43</v>
      </c>
      <c r="K116" s="266" t="str">
        <f t="shared" si="3"/>
        <v>T</v>
      </c>
    </row>
    <row r="117" spans="2:11" x14ac:dyDescent="0.2">
      <c r="B117" s="257"/>
      <c r="C117" s="270" t="s">
        <v>14</v>
      </c>
      <c r="D117" s="272">
        <v>44155</v>
      </c>
      <c r="E117" s="272">
        <v>44912</v>
      </c>
      <c r="F117" s="267" t="s">
        <v>420</v>
      </c>
      <c r="G117" s="267" t="s">
        <v>421</v>
      </c>
      <c r="H117" s="267" t="str">
        <f t="shared" si="2"/>
        <v>F</v>
      </c>
      <c r="I117" s="266" t="s">
        <v>43</v>
      </c>
      <c r="J117" s="266" t="s">
        <v>43</v>
      </c>
      <c r="K117" s="266" t="str">
        <f t="shared" si="3"/>
        <v>T</v>
      </c>
    </row>
    <row r="118" spans="2:11" x14ac:dyDescent="0.2">
      <c r="B118" s="257"/>
      <c r="C118" s="270" t="s">
        <v>20</v>
      </c>
      <c r="D118" s="272">
        <v>44242</v>
      </c>
      <c r="E118" s="272">
        <v>45492</v>
      </c>
      <c r="F118" s="267" t="s">
        <v>421</v>
      </c>
      <c r="G118" s="267" t="s">
        <v>421</v>
      </c>
      <c r="H118" s="267" t="str">
        <f t="shared" si="2"/>
        <v>T</v>
      </c>
      <c r="I118" s="266" t="s">
        <v>45</v>
      </c>
      <c r="J118" s="266" t="s">
        <v>43</v>
      </c>
      <c r="K118" s="266" t="str">
        <f t="shared" si="3"/>
        <v>F</v>
      </c>
    </row>
    <row r="119" spans="2:11" x14ac:dyDescent="0.2">
      <c r="B119" s="257"/>
      <c r="C119" s="270" t="s">
        <v>23</v>
      </c>
      <c r="D119" s="272">
        <v>44391</v>
      </c>
      <c r="E119" s="272">
        <v>45349</v>
      </c>
      <c r="F119" s="267" t="s">
        <v>421</v>
      </c>
      <c r="G119" s="267" t="s">
        <v>421</v>
      </c>
      <c r="H119" s="267" t="str">
        <f t="shared" si="2"/>
        <v>T</v>
      </c>
      <c r="I119" s="266" t="s">
        <v>43</v>
      </c>
      <c r="J119" s="266" t="s">
        <v>43</v>
      </c>
      <c r="K119" s="266" t="str">
        <f t="shared" si="3"/>
        <v>T</v>
      </c>
    </row>
    <row r="120" spans="2:11" x14ac:dyDescent="0.2">
      <c r="B120" s="257"/>
      <c r="C120" s="270" t="s">
        <v>24</v>
      </c>
      <c r="D120" s="272">
        <v>44393</v>
      </c>
      <c r="E120" s="272">
        <v>45454</v>
      </c>
      <c r="F120" s="267" t="s">
        <v>421</v>
      </c>
      <c r="G120" s="267" t="s">
        <v>421</v>
      </c>
      <c r="H120" s="267" t="str">
        <f t="shared" si="2"/>
        <v>T</v>
      </c>
      <c r="I120" s="266" t="s">
        <v>43</v>
      </c>
      <c r="J120" s="266" t="s">
        <v>43</v>
      </c>
      <c r="K120" s="266" t="str">
        <f t="shared" si="3"/>
        <v>T</v>
      </c>
    </row>
    <row r="121" spans="2:11" x14ac:dyDescent="0.2">
      <c r="B121" s="257"/>
      <c r="C121" s="270" t="s">
        <v>25</v>
      </c>
      <c r="D121" s="272">
        <v>44393</v>
      </c>
      <c r="E121" s="272">
        <v>45113</v>
      </c>
      <c r="F121" s="267" t="s">
        <v>421</v>
      </c>
      <c r="G121" s="267" t="s">
        <v>421</v>
      </c>
      <c r="H121" s="267" t="str">
        <f t="shared" si="2"/>
        <v>T</v>
      </c>
      <c r="I121" s="266" t="s">
        <v>43</v>
      </c>
      <c r="J121" s="266" t="s">
        <v>43</v>
      </c>
      <c r="K121" s="266" t="str">
        <f t="shared" si="3"/>
        <v>T</v>
      </c>
    </row>
    <row r="122" spans="2:11" x14ac:dyDescent="0.2">
      <c r="B122" s="257"/>
      <c r="C122" s="270" t="s">
        <v>28</v>
      </c>
      <c r="D122" s="272">
        <v>44393</v>
      </c>
      <c r="E122" s="272">
        <v>45376</v>
      </c>
      <c r="F122" s="267" t="s">
        <v>420</v>
      </c>
      <c r="G122" s="267" t="s">
        <v>421</v>
      </c>
      <c r="H122" s="267" t="str">
        <f t="shared" si="2"/>
        <v>F</v>
      </c>
      <c r="I122" s="266" t="s">
        <v>45</v>
      </c>
      <c r="J122" s="266" t="s">
        <v>43</v>
      </c>
      <c r="K122" s="266" t="str">
        <f t="shared" si="3"/>
        <v>F</v>
      </c>
    </row>
    <row r="123" spans="2:11" x14ac:dyDescent="0.2">
      <c r="B123" s="257"/>
      <c r="C123" s="270" t="s">
        <v>32</v>
      </c>
      <c r="D123" s="272">
        <v>44393</v>
      </c>
      <c r="E123" s="272">
        <v>45513</v>
      </c>
      <c r="F123" s="267" t="s">
        <v>420</v>
      </c>
      <c r="G123" s="267" t="s">
        <v>421</v>
      </c>
      <c r="H123" s="267" t="str">
        <f t="shared" si="2"/>
        <v>F</v>
      </c>
      <c r="I123" s="266" t="s">
        <v>45</v>
      </c>
      <c r="J123" s="266" t="s">
        <v>43</v>
      </c>
      <c r="K123" s="266" t="str">
        <f t="shared" si="3"/>
        <v>F</v>
      </c>
    </row>
    <row r="124" spans="2:11" x14ac:dyDescent="0.2">
      <c r="B124" s="257"/>
      <c r="C124" s="270" t="s">
        <v>38</v>
      </c>
      <c r="D124" s="272">
        <v>44393</v>
      </c>
      <c r="E124" s="272">
        <v>45491</v>
      </c>
      <c r="F124" s="267" t="s">
        <v>421</v>
      </c>
      <c r="G124" s="267" t="s">
        <v>421</v>
      </c>
      <c r="H124" s="267" t="str">
        <f t="shared" si="2"/>
        <v>T</v>
      </c>
      <c r="I124" s="266" t="s">
        <v>43</v>
      </c>
      <c r="J124" s="266" t="s">
        <v>43</v>
      </c>
      <c r="K124" s="266" t="str">
        <f t="shared" si="3"/>
        <v>T</v>
      </c>
    </row>
    <row r="125" spans="2:11" x14ac:dyDescent="0.2">
      <c r="B125" s="252"/>
      <c r="C125" s="273" t="s">
        <v>427</v>
      </c>
      <c r="D125" s="274">
        <v>43893</v>
      </c>
      <c r="E125" s="274">
        <v>45490</v>
      </c>
      <c r="F125" s="275" t="s">
        <v>57</v>
      </c>
      <c r="G125" s="275" t="s">
        <v>57</v>
      </c>
      <c r="H125" s="275" t="s">
        <v>57</v>
      </c>
      <c r="I125" s="275" t="s">
        <v>57</v>
      </c>
      <c r="J125" s="275" t="s">
        <v>57</v>
      </c>
      <c r="K125" s="275" t="s">
        <v>57</v>
      </c>
    </row>
    <row r="126" spans="2:11" x14ac:dyDescent="0.2">
      <c r="B126" s="276" t="s">
        <v>74</v>
      </c>
      <c r="C126" s="270" t="s">
        <v>75</v>
      </c>
      <c r="D126" s="272">
        <v>44008</v>
      </c>
      <c r="E126" s="272">
        <v>44720</v>
      </c>
      <c r="F126" s="267" t="s">
        <v>421</v>
      </c>
      <c r="G126" s="267" t="s">
        <v>421</v>
      </c>
      <c r="H126" s="267" t="str">
        <f t="shared" si="2"/>
        <v>T</v>
      </c>
      <c r="I126" s="266" t="s">
        <v>43</v>
      </c>
      <c r="J126" s="266" t="s">
        <v>43</v>
      </c>
      <c r="K126" s="266" t="str">
        <f t="shared" si="3"/>
        <v>T</v>
      </c>
    </row>
    <row r="127" spans="2:11" x14ac:dyDescent="0.2">
      <c r="B127" s="257"/>
      <c r="C127" s="270" t="s">
        <v>35</v>
      </c>
      <c r="D127" s="272">
        <v>44050</v>
      </c>
      <c r="E127" s="272">
        <v>44767</v>
      </c>
      <c r="F127" s="267" t="s">
        <v>421</v>
      </c>
      <c r="G127" s="267" t="s">
        <v>421</v>
      </c>
      <c r="H127" s="267" t="str">
        <f t="shared" si="2"/>
        <v>T</v>
      </c>
      <c r="I127" s="266" t="s">
        <v>43</v>
      </c>
      <c r="J127" s="266" t="s">
        <v>43</v>
      </c>
      <c r="K127" s="266" t="str">
        <f t="shared" si="3"/>
        <v>T</v>
      </c>
    </row>
    <row r="128" spans="2:11" x14ac:dyDescent="0.2">
      <c r="B128" s="257"/>
      <c r="C128" s="270" t="s">
        <v>17</v>
      </c>
      <c r="D128" s="272">
        <v>44058</v>
      </c>
      <c r="E128" s="272">
        <v>45297</v>
      </c>
      <c r="F128" s="267" t="s">
        <v>421</v>
      </c>
      <c r="G128" s="267" t="s">
        <v>421</v>
      </c>
      <c r="H128" s="267" t="str">
        <f t="shared" si="2"/>
        <v>T</v>
      </c>
      <c r="I128" s="266" t="s">
        <v>45</v>
      </c>
      <c r="J128" s="266" t="s">
        <v>43</v>
      </c>
      <c r="K128" s="266" t="str">
        <f t="shared" si="3"/>
        <v>F</v>
      </c>
    </row>
    <row r="129" spans="2:11" x14ac:dyDescent="0.2">
      <c r="B129" s="257"/>
      <c r="C129" s="270" t="s">
        <v>18</v>
      </c>
      <c r="D129" s="272">
        <v>44208</v>
      </c>
      <c r="E129" s="272">
        <v>44987</v>
      </c>
      <c r="F129" s="267" t="s">
        <v>421</v>
      </c>
      <c r="G129" s="267" t="s">
        <v>421</v>
      </c>
      <c r="H129" s="267" t="str">
        <f t="shared" si="2"/>
        <v>T</v>
      </c>
      <c r="I129" s="266" t="s">
        <v>43</v>
      </c>
      <c r="J129" s="266" t="s">
        <v>43</v>
      </c>
      <c r="K129" s="266" t="str">
        <f t="shared" si="3"/>
        <v>T</v>
      </c>
    </row>
    <row r="130" spans="2:11" x14ac:dyDescent="0.2">
      <c r="B130" s="257"/>
      <c r="C130" s="270" t="s">
        <v>76</v>
      </c>
      <c r="D130" s="272">
        <v>44255</v>
      </c>
      <c r="E130" s="272">
        <v>45096</v>
      </c>
      <c r="F130" s="267" t="s">
        <v>420</v>
      </c>
      <c r="G130" s="267" t="s">
        <v>421</v>
      </c>
      <c r="H130" s="267" t="str">
        <f t="shared" si="2"/>
        <v>F</v>
      </c>
      <c r="I130" s="266" t="s">
        <v>43</v>
      </c>
      <c r="J130" s="266" t="s">
        <v>43</v>
      </c>
      <c r="K130" s="266" t="str">
        <f t="shared" si="3"/>
        <v>T</v>
      </c>
    </row>
    <row r="131" spans="2:11" x14ac:dyDescent="0.2">
      <c r="B131" s="257"/>
      <c r="C131" s="270" t="s">
        <v>20</v>
      </c>
      <c r="D131" s="272">
        <v>44517</v>
      </c>
      <c r="E131" s="272">
        <v>45338</v>
      </c>
      <c r="F131" s="267" t="s">
        <v>420</v>
      </c>
      <c r="G131" s="267" t="s">
        <v>421</v>
      </c>
      <c r="H131" s="267" t="str">
        <f t="shared" si="2"/>
        <v>F</v>
      </c>
      <c r="I131" s="266" t="s">
        <v>43</v>
      </c>
      <c r="J131" s="266" t="s">
        <v>43</v>
      </c>
      <c r="K131" s="266" t="str">
        <f t="shared" si="3"/>
        <v>T</v>
      </c>
    </row>
    <row r="132" spans="2:11" x14ac:dyDescent="0.2">
      <c r="B132" s="257"/>
      <c r="C132" s="270" t="s">
        <v>24</v>
      </c>
      <c r="D132" s="272">
        <v>44567</v>
      </c>
      <c r="E132" s="272">
        <v>45026</v>
      </c>
      <c r="F132" s="267" t="s">
        <v>421</v>
      </c>
      <c r="G132" s="267" t="s">
        <v>421</v>
      </c>
      <c r="H132" s="267" t="str">
        <f t="shared" si="2"/>
        <v>T</v>
      </c>
      <c r="I132" s="266" t="s">
        <v>43</v>
      </c>
      <c r="J132" s="266" t="s">
        <v>43</v>
      </c>
      <c r="K132" s="266" t="str">
        <f t="shared" si="3"/>
        <v>T</v>
      </c>
    </row>
    <row r="133" spans="2:11" x14ac:dyDescent="0.2">
      <c r="B133" s="257"/>
      <c r="C133" s="270" t="s">
        <v>26</v>
      </c>
      <c r="D133" s="272">
        <v>44567</v>
      </c>
      <c r="E133" s="272">
        <v>45251</v>
      </c>
      <c r="F133" s="267" t="s">
        <v>421</v>
      </c>
      <c r="G133" s="267" t="s">
        <v>421</v>
      </c>
      <c r="H133" s="267" t="str">
        <f t="shared" si="2"/>
        <v>T</v>
      </c>
      <c r="I133" s="266" t="s">
        <v>43</v>
      </c>
      <c r="J133" s="266" t="s">
        <v>43</v>
      </c>
      <c r="K133" s="266" t="str">
        <f t="shared" si="3"/>
        <v>T</v>
      </c>
    </row>
    <row r="134" spans="2:11" x14ac:dyDescent="0.2">
      <c r="B134" s="257"/>
      <c r="C134" s="270" t="s">
        <v>28</v>
      </c>
      <c r="D134" s="272">
        <v>44731</v>
      </c>
      <c r="E134" s="272">
        <v>45080</v>
      </c>
      <c r="F134" s="267" t="s">
        <v>421</v>
      </c>
      <c r="G134" s="267" t="s">
        <v>421</v>
      </c>
      <c r="H134" s="267" t="str">
        <f t="shared" si="2"/>
        <v>T</v>
      </c>
      <c r="I134" s="266" t="s">
        <v>43</v>
      </c>
      <c r="J134" s="266" t="s">
        <v>43</v>
      </c>
      <c r="K134" s="266" t="str">
        <f t="shared" si="3"/>
        <v>T</v>
      </c>
    </row>
    <row r="135" spans="2:11" x14ac:dyDescent="0.2">
      <c r="B135" s="257"/>
      <c r="C135" s="270" t="s">
        <v>394</v>
      </c>
      <c r="D135" s="272">
        <v>44740</v>
      </c>
      <c r="E135" s="272">
        <v>45257</v>
      </c>
      <c r="F135" s="267" t="s">
        <v>420</v>
      </c>
      <c r="G135" s="267" t="s">
        <v>421</v>
      </c>
      <c r="H135" s="267" t="str">
        <f t="shared" si="2"/>
        <v>F</v>
      </c>
      <c r="I135" s="266" t="s">
        <v>43</v>
      </c>
      <c r="J135" s="266" t="s">
        <v>43</v>
      </c>
      <c r="K135" s="266" t="str">
        <f t="shared" si="3"/>
        <v>T</v>
      </c>
    </row>
    <row r="136" spans="2:11" x14ac:dyDescent="0.2">
      <c r="B136" s="257"/>
      <c r="C136" s="270" t="s">
        <v>396</v>
      </c>
      <c r="D136" s="272">
        <v>44860</v>
      </c>
      <c r="E136" s="272">
        <v>45190</v>
      </c>
      <c r="F136" s="267" t="s">
        <v>420</v>
      </c>
      <c r="G136" s="267" t="s">
        <v>421</v>
      </c>
      <c r="H136" s="267" t="str">
        <f t="shared" si="2"/>
        <v>F</v>
      </c>
      <c r="I136" s="266" t="s">
        <v>43</v>
      </c>
      <c r="J136" s="266" t="s">
        <v>43</v>
      </c>
      <c r="K136" s="266" t="str">
        <f t="shared" si="3"/>
        <v>T</v>
      </c>
    </row>
    <row r="137" spans="2:11" x14ac:dyDescent="0.2">
      <c r="B137" s="257"/>
      <c r="C137" s="270" t="s">
        <v>38</v>
      </c>
      <c r="D137" s="272">
        <v>44874</v>
      </c>
      <c r="E137" s="272">
        <v>45317</v>
      </c>
      <c r="F137" s="267" t="s">
        <v>420</v>
      </c>
      <c r="G137" s="267" t="s">
        <v>421</v>
      </c>
      <c r="H137" s="267" t="str">
        <f t="shared" si="2"/>
        <v>F</v>
      </c>
      <c r="I137" s="266" t="s">
        <v>43</v>
      </c>
      <c r="J137" s="266" t="s">
        <v>43</v>
      </c>
      <c r="K137" s="266" t="str">
        <f t="shared" si="3"/>
        <v>T</v>
      </c>
    </row>
    <row r="138" spans="2:11" x14ac:dyDescent="0.2">
      <c r="B138" s="257"/>
      <c r="C138" s="270" t="s">
        <v>398</v>
      </c>
      <c r="D138" s="272">
        <v>45009</v>
      </c>
      <c r="E138" s="272">
        <v>45343</v>
      </c>
      <c r="F138" s="267" t="s">
        <v>420</v>
      </c>
      <c r="G138" s="267" t="s">
        <v>421</v>
      </c>
      <c r="H138" s="267" t="str">
        <f t="shared" si="2"/>
        <v>F</v>
      </c>
      <c r="I138" s="266" t="s">
        <v>43</v>
      </c>
      <c r="J138" s="266" t="s">
        <v>43</v>
      </c>
      <c r="K138" s="266" t="str">
        <f t="shared" si="3"/>
        <v>T</v>
      </c>
    </row>
    <row r="139" spans="2:11" x14ac:dyDescent="0.2">
      <c r="B139" s="257"/>
      <c r="C139" s="270" t="s">
        <v>399</v>
      </c>
      <c r="D139" s="272">
        <v>45069</v>
      </c>
      <c r="E139" s="272">
        <v>45328</v>
      </c>
      <c r="F139" s="267" t="s">
        <v>420</v>
      </c>
      <c r="G139" s="267" t="s">
        <v>421</v>
      </c>
      <c r="H139" s="267" t="str">
        <f t="shared" si="2"/>
        <v>F</v>
      </c>
      <c r="I139" s="266" t="s">
        <v>43</v>
      </c>
      <c r="J139" s="266" t="s">
        <v>43</v>
      </c>
      <c r="K139" s="266" t="str">
        <f t="shared" si="3"/>
        <v>T</v>
      </c>
    </row>
    <row r="140" spans="2:11" x14ac:dyDescent="0.2">
      <c r="B140" s="257"/>
      <c r="C140" s="270" t="s">
        <v>78</v>
      </c>
      <c r="D140" s="272">
        <v>45104</v>
      </c>
      <c r="E140" s="272">
        <v>45357</v>
      </c>
      <c r="F140" s="267" t="s">
        <v>421</v>
      </c>
      <c r="G140" s="267" t="s">
        <v>421</v>
      </c>
      <c r="H140" s="267" t="str">
        <f t="shared" si="2"/>
        <v>T</v>
      </c>
      <c r="I140" s="266" t="s">
        <v>43</v>
      </c>
      <c r="J140" s="266" t="s">
        <v>43</v>
      </c>
      <c r="K140" s="266" t="str">
        <f t="shared" si="3"/>
        <v>T</v>
      </c>
    </row>
    <row r="141" spans="2:11" x14ac:dyDescent="0.2">
      <c r="B141" s="252"/>
      <c r="C141" s="273" t="s">
        <v>170</v>
      </c>
      <c r="D141" s="274">
        <v>43983</v>
      </c>
      <c r="E141" s="274">
        <v>45361</v>
      </c>
      <c r="F141" s="275" t="s">
        <v>57</v>
      </c>
      <c r="G141" s="275" t="s">
        <v>57</v>
      </c>
      <c r="H141" s="275" t="s">
        <v>57</v>
      </c>
      <c r="I141" s="275" t="s">
        <v>57</v>
      </c>
      <c r="J141" s="275" t="s">
        <v>57</v>
      </c>
      <c r="K141" s="275" t="s">
        <v>57</v>
      </c>
    </row>
    <row r="142" spans="2:11" x14ac:dyDescent="0.2">
      <c r="B142" s="276" t="s">
        <v>79</v>
      </c>
      <c r="C142" s="270" t="s">
        <v>382</v>
      </c>
      <c r="D142" s="272">
        <v>43900</v>
      </c>
      <c r="E142" s="272">
        <v>44642</v>
      </c>
      <c r="F142" s="267" t="s">
        <v>420</v>
      </c>
      <c r="G142" s="267" t="s">
        <v>421</v>
      </c>
      <c r="H142" s="267" t="str">
        <f t="shared" ref="H142:H198" si="4">IF(F142=G142,"T","F")</f>
        <v>F</v>
      </c>
      <c r="I142" s="266" t="s">
        <v>43</v>
      </c>
      <c r="J142" s="266" t="s">
        <v>43</v>
      </c>
      <c r="K142" s="266" t="str">
        <f t="shared" ref="K142:K198" si="5">IF(I142=J142,"T","F")</f>
        <v>T</v>
      </c>
    </row>
    <row r="143" spans="2:11" x14ac:dyDescent="0.2">
      <c r="B143" s="257"/>
      <c r="C143" s="270" t="s">
        <v>36</v>
      </c>
      <c r="D143" s="272">
        <v>43900</v>
      </c>
      <c r="E143" s="272">
        <v>44424</v>
      </c>
      <c r="F143" s="267" t="s">
        <v>420</v>
      </c>
      <c r="G143" s="267" t="s">
        <v>421</v>
      </c>
      <c r="H143" s="267" t="str">
        <f t="shared" si="4"/>
        <v>F</v>
      </c>
      <c r="I143" s="266" t="s">
        <v>43</v>
      </c>
      <c r="J143" s="266" t="s">
        <v>43</v>
      </c>
      <c r="K143" s="266" t="str">
        <f t="shared" si="5"/>
        <v>T</v>
      </c>
    </row>
    <row r="144" spans="2:11" x14ac:dyDescent="0.2">
      <c r="B144" s="257"/>
      <c r="C144" s="270" t="s">
        <v>80</v>
      </c>
      <c r="D144" s="272">
        <v>43909</v>
      </c>
      <c r="E144" s="272">
        <v>44152</v>
      </c>
      <c r="F144" s="267" t="s">
        <v>421</v>
      </c>
      <c r="G144" s="267" t="s">
        <v>421</v>
      </c>
      <c r="H144" s="267" t="str">
        <f t="shared" si="4"/>
        <v>T</v>
      </c>
      <c r="I144" s="266" t="s">
        <v>43</v>
      </c>
      <c r="J144" s="266" t="s">
        <v>43</v>
      </c>
      <c r="K144" s="266" t="str">
        <f t="shared" si="5"/>
        <v>T</v>
      </c>
    </row>
    <row r="145" spans="2:11" x14ac:dyDescent="0.2">
      <c r="B145" s="257"/>
      <c r="C145" s="270" t="s">
        <v>81</v>
      </c>
      <c r="D145" s="272">
        <v>44372</v>
      </c>
      <c r="E145" s="272">
        <v>44726</v>
      </c>
      <c r="F145" s="267" t="s">
        <v>421</v>
      </c>
      <c r="G145" s="267" t="s">
        <v>421</v>
      </c>
      <c r="H145" s="267" t="str">
        <f t="shared" si="4"/>
        <v>T</v>
      </c>
      <c r="I145" s="266" t="s">
        <v>43</v>
      </c>
      <c r="J145" s="266" t="s">
        <v>43</v>
      </c>
      <c r="K145" s="266" t="str">
        <f t="shared" si="5"/>
        <v>T</v>
      </c>
    </row>
    <row r="146" spans="2:11" x14ac:dyDescent="0.2">
      <c r="B146" s="257"/>
      <c r="C146" s="270" t="s">
        <v>20</v>
      </c>
      <c r="D146" s="272">
        <v>44531</v>
      </c>
      <c r="E146" s="272">
        <v>45503</v>
      </c>
      <c r="F146" s="267" t="s">
        <v>421</v>
      </c>
      <c r="G146" s="267" t="s">
        <v>421</v>
      </c>
      <c r="H146" s="267" t="str">
        <f t="shared" si="4"/>
        <v>T</v>
      </c>
      <c r="I146" s="266" t="s">
        <v>43</v>
      </c>
      <c r="J146" s="266" t="s">
        <v>43</v>
      </c>
      <c r="K146" s="266" t="str">
        <f t="shared" si="5"/>
        <v>T</v>
      </c>
    </row>
    <row r="147" spans="2:11" x14ac:dyDescent="0.2">
      <c r="B147" s="257"/>
      <c r="C147" s="270" t="s">
        <v>403</v>
      </c>
      <c r="D147" s="272">
        <v>44572</v>
      </c>
      <c r="E147" s="272">
        <v>45097</v>
      </c>
      <c r="F147" s="267" t="s">
        <v>420</v>
      </c>
      <c r="G147" s="267" t="s">
        <v>421</v>
      </c>
      <c r="H147" s="267" t="str">
        <f t="shared" si="4"/>
        <v>F</v>
      </c>
      <c r="I147" s="266" t="s">
        <v>43</v>
      </c>
      <c r="J147" s="266" t="s">
        <v>43</v>
      </c>
      <c r="K147" s="266" t="str">
        <f t="shared" si="5"/>
        <v>T</v>
      </c>
    </row>
    <row r="148" spans="2:11" x14ac:dyDescent="0.2">
      <c r="B148" s="257"/>
      <c r="C148" s="270" t="s">
        <v>25</v>
      </c>
      <c r="D148" s="272">
        <v>44579</v>
      </c>
      <c r="E148" s="272">
        <v>45167</v>
      </c>
      <c r="F148" s="267" t="s">
        <v>421</v>
      </c>
      <c r="G148" s="267" t="s">
        <v>421</v>
      </c>
      <c r="H148" s="267" t="str">
        <f t="shared" si="4"/>
        <v>T</v>
      </c>
      <c r="I148" s="266" t="s">
        <v>43</v>
      </c>
      <c r="J148" s="266" t="s">
        <v>43</v>
      </c>
      <c r="K148" s="266" t="str">
        <f t="shared" si="5"/>
        <v>T</v>
      </c>
    </row>
    <row r="149" spans="2:11" x14ac:dyDescent="0.2">
      <c r="B149" s="257"/>
      <c r="C149" s="270" t="s">
        <v>26</v>
      </c>
      <c r="D149" s="272">
        <v>44610</v>
      </c>
      <c r="E149" s="272">
        <v>45029</v>
      </c>
      <c r="F149" s="267" t="s">
        <v>421</v>
      </c>
      <c r="G149" s="267" t="s">
        <v>421</v>
      </c>
      <c r="H149" s="267" t="str">
        <f t="shared" si="4"/>
        <v>T</v>
      </c>
      <c r="I149" s="266" t="s">
        <v>43</v>
      </c>
      <c r="J149" s="266" t="s">
        <v>43</v>
      </c>
      <c r="K149" s="266" t="str">
        <f t="shared" si="5"/>
        <v>T</v>
      </c>
    </row>
    <row r="150" spans="2:11" x14ac:dyDescent="0.2">
      <c r="B150" s="257"/>
      <c r="C150" s="270" t="s">
        <v>164</v>
      </c>
      <c r="D150" s="272">
        <v>44779</v>
      </c>
      <c r="E150" s="272">
        <v>45201</v>
      </c>
      <c r="F150" s="267" t="s">
        <v>421</v>
      </c>
      <c r="G150" s="267" t="s">
        <v>421</v>
      </c>
      <c r="H150" s="267" t="str">
        <f t="shared" si="4"/>
        <v>T</v>
      </c>
      <c r="I150" s="266" t="s">
        <v>43</v>
      </c>
      <c r="J150" s="266" t="s">
        <v>43</v>
      </c>
      <c r="K150" s="266" t="str">
        <f t="shared" si="5"/>
        <v>T</v>
      </c>
    </row>
    <row r="151" spans="2:11" x14ac:dyDescent="0.2">
      <c r="B151" s="257"/>
      <c r="C151" s="270" t="s">
        <v>38</v>
      </c>
      <c r="D151" s="272">
        <v>44856</v>
      </c>
      <c r="E151" s="272">
        <v>45370</v>
      </c>
      <c r="F151" s="267" t="s">
        <v>420</v>
      </c>
      <c r="G151" s="267" t="s">
        <v>421</v>
      </c>
      <c r="H151" s="267" t="str">
        <f t="shared" si="4"/>
        <v>F</v>
      </c>
      <c r="I151" s="266" t="s">
        <v>43</v>
      </c>
      <c r="J151" s="266" t="s">
        <v>43</v>
      </c>
      <c r="K151" s="266" t="str">
        <f t="shared" si="5"/>
        <v>T</v>
      </c>
    </row>
    <row r="152" spans="2:11" x14ac:dyDescent="0.2">
      <c r="B152" s="257"/>
      <c r="C152" s="270" t="s">
        <v>30</v>
      </c>
      <c r="D152" s="272">
        <v>44930</v>
      </c>
      <c r="E152" s="272">
        <v>45415</v>
      </c>
      <c r="F152" s="267" t="s">
        <v>421</v>
      </c>
      <c r="G152" s="267" t="s">
        <v>421</v>
      </c>
      <c r="H152" s="267" t="str">
        <f t="shared" si="4"/>
        <v>T</v>
      </c>
      <c r="I152" s="266" t="s">
        <v>43</v>
      </c>
      <c r="J152" s="266" t="s">
        <v>43</v>
      </c>
      <c r="K152" s="266" t="str">
        <f t="shared" si="5"/>
        <v>T</v>
      </c>
    </row>
    <row r="153" spans="2:11" x14ac:dyDescent="0.2">
      <c r="B153" s="257"/>
      <c r="C153" s="270" t="s">
        <v>32</v>
      </c>
      <c r="D153" s="272">
        <v>44943</v>
      </c>
      <c r="E153" s="272">
        <v>45520</v>
      </c>
      <c r="F153" s="267" t="s">
        <v>421</v>
      </c>
      <c r="G153" s="267" t="s">
        <v>421</v>
      </c>
      <c r="H153" s="267" t="str">
        <f t="shared" si="4"/>
        <v>T</v>
      </c>
      <c r="I153" s="266" t="s">
        <v>43</v>
      </c>
      <c r="J153" s="266" t="s">
        <v>43</v>
      </c>
      <c r="K153" s="266" t="str">
        <f t="shared" si="5"/>
        <v>T</v>
      </c>
    </row>
    <row r="154" spans="2:11" x14ac:dyDescent="0.2">
      <c r="B154" s="257"/>
      <c r="C154" s="270" t="s">
        <v>404</v>
      </c>
      <c r="D154" s="272">
        <v>44943</v>
      </c>
      <c r="E154" s="272">
        <v>45333</v>
      </c>
      <c r="F154" s="267" t="s">
        <v>420</v>
      </c>
      <c r="G154" s="267" t="s">
        <v>421</v>
      </c>
      <c r="H154" s="267" t="str">
        <f t="shared" si="4"/>
        <v>F</v>
      </c>
      <c r="I154" s="266" t="s">
        <v>45</v>
      </c>
      <c r="J154" s="266" t="s">
        <v>43</v>
      </c>
      <c r="K154" s="266" t="str">
        <f t="shared" si="5"/>
        <v>F</v>
      </c>
    </row>
    <row r="155" spans="2:11" x14ac:dyDescent="0.2">
      <c r="B155" s="257"/>
      <c r="C155" s="270" t="s">
        <v>37</v>
      </c>
      <c r="D155" s="272">
        <v>44985</v>
      </c>
      <c r="E155" s="272">
        <v>45297</v>
      </c>
      <c r="F155" s="267" t="s">
        <v>421</v>
      </c>
      <c r="G155" s="267" t="s">
        <v>421</v>
      </c>
      <c r="H155" s="267" t="str">
        <f t="shared" si="4"/>
        <v>T</v>
      </c>
      <c r="I155" s="266" t="s">
        <v>43</v>
      </c>
      <c r="J155" s="266" t="s">
        <v>43</v>
      </c>
      <c r="K155" s="266" t="str">
        <f t="shared" si="5"/>
        <v>T</v>
      </c>
    </row>
    <row r="156" spans="2:11" x14ac:dyDescent="0.2">
      <c r="B156" s="252"/>
      <c r="C156" s="273" t="s">
        <v>428</v>
      </c>
      <c r="D156" s="274">
        <v>43899</v>
      </c>
      <c r="E156" s="274">
        <v>45474</v>
      </c>
      <c r="F156" s="275" t="s">
        <v>57</v>
      </c>
      <c r="G156" s="275" t="s">
        <v>57</v>
      </c>
      <c r="H156" s="275" t="s">
        <v>57</v>
      </c>
      <c r="I156" s="275" t="s">
        <v>57</v>
      </c>
      <c r="J156" s="275" t="s">
        <v>57</v>
      </c>
      <c r="K156" s="275" t="s">
        <v>57</v>
      </c>
    </row>
    <row r="157" spans="2:11" x14ac:dyDescent="0.2">
      <c r="B157" s="276" t="s">
        <v>48</v>
      </c>
      <c r="C157" s="270" t="s">
        <v>151</v>
      </c>
      <c r="D157" s="272">
        <v>44249</v>
      </c>
      <c r="E157" s="272">
        <v>44460</v>
      </c>
      <c r="F157" s="267" t="s">
        <v>421</v>
      </c>
      <c r="G157" s="267" t="s">
        <v>421</v>
      </c>
      <c r="H157" s="267" t="str">
        <f t="shared" si="4"/>
        <v>T</v>
      </c>
      <c r="I157" s="266" t="s">
        <v>43</v>
      </c>
      <c r="J157" s="266" t="s">
        <v>43</v>
      </c>
      <c r="K157" s="266" t="str">
        <f t="shared" si="5"/>
        <v>T</v>
      </c>
    </row>
    <row r="158" spans="2:11" x14ac:dyDescent="0.2">
      <c r="B158" s="257"/>
      <c r="C158" s="270" t="s">
        <v>9</v>
      </c>
      <c r="D158" s="272">
        <v>44308</v>
      </c>
      <c r="E158" s="272">
        <v>45118</v>
      </c>
      <c r="F158" s="267" t="s">
        <v>420</v>
      </c>
      <c r="G158" s="267" t="s">
        <v>421</v>
      </c>
      <c r="H158" s="267" t="str">
        <f t="shared" si="4"/>
        <v>F</v>
      </c>
      <c r="I158" s="266" t="s">
        <v>43</v>
      </c>
      <c r="J158" s="266" t="s">
        <v>43</v>
      </c>
      <c r="K158" s="266" t="str">
        <f t="shared" si="5"/>
        <v>T</v>
      </c>
    </row>
    <row r="159" spans="2:11" x14ac:dyDescent="0.2">
      <c r="B159" s="257"/>
      <c r="C159" s="270" t="s">
        <v>49</v>
      </c>
      <c r="D159" s="272">
        <v>44331</v>
      </c>
      <c r="E159" s="272">
        <v>44602</v>
      </c>
      <c r="F159" s="267" t="s">
        <v>420</v>
      </c>
      <c r="G159" s="267" t="s">
        <v>421</v>
      </c>
      <c r="H159" s="267" t="str">
        <f t="shared" si="4"/>
        <v>F</v>
      </c>
      <c r="I159" s="266" t="s">
        <v>43</v>
      </c>
      <c r="J159" s="266" t="s">
        <v>43</v>
      </c>
      <c r="K159" s="266" t="str">
        <f t="shared" si="5"/>
        <v>T</v>
      </c>
    </row>
    <row r="160" spans="2:11" x14ac:dyDescent="0.2">
      <c r="B160" s="257"/>
      <c r="C160" s="270" t="s">
        <v>152</v>
      </c>
      <c r="D160" s="272">
        <v>44416</v>
      </c>
      <c r="E160" s="272">
        <v>44624</v>
      </c>
      <c r="F160" s="267" t="s">
        <v>420</v>
      </c>
      <c r="G160" s="267" t="s">
        <v>421</v>
      </c>
      <c r="H160" s="267" t="str">
        <f t="shared" si="4"/>
        <v>F</v>
      </c>
      <c r="I160" s="266" t="s">
        <v>43</v>
      </c>
      <c r="J160" s="266" t="s">
        <v>43</v>
      </c>
      <c r="K160" s="266" t="str">
        <f t="shared" si="5"/>
        <v>T</v>
      </c>
    </row>
    <row r="161" spans="2:11" x14ac:dyDescent="0.2">
      <c r="B161" s="257"/>
      <c r="C161" s="270" t="s">
        <v>22</v>
      </c>
      <c r="D161" s="272">
        <v>44559</v>
      </c>
      <c r="E161" s="272">
        <v>45000</v>
      </c>
      <c r="F161" s="267" t="s">
        <v>421</v>
      </c>
      <c r="G161" s="267" t="s">
        <v>421</v>
      </c>
      <c r="H161" s="267" t="str">
        <f t="shared" si="4"/>
        <v>T</v>
      </c>
      <c r="I161" s="266" t="s">
        <v>43</v>
      </c>
      <c r="J161" s="266" t="s">
        <v>43</v>
      </c>
      <c r="K161" s="266" t="str">
        <f t="shared" si="5"/>
        <v>T</v>
      </c>
    </row>
    <row r="162" spans="2:11" x14ac:dyDescent="0.2">
      <c r="B162" s="257"/>
      <c r="C162" s="270" t="s">
        <v>26</v>
      </c>
      <c r="D162" s="272">
        <v>44691</v>
      </c>
      <c r="E162" s="272">
        <v>45031</v>
      </c>
      <c r="F162" s="267" t="s">
        <v>420</v>
      </c>
      <c r="G162" s="267" t="s">
        <v>421</v>
      </c>
      <c r="H162" s="267" t="str">
        <f t="shared" si="4"/>
        <v>F</v>
      </c>
      <c r="I162" s="266" t="s">
        <v>45</v>
      </c>
      <c r="J162" s="266" t="s">
        <v>43</v>
      </c>
      <c r="K162" s="266" t="str">
        <f t="shared" si="5"/>
        <v>F</v>
      </c>
    </row>
    <row r="163" spans="2:11" x14ac:dyDescent="0.2">
      <c r="B163" s="257"/>
      <c r="C163" s="270" t="s">
        <v>25</v>
      </c>
      <c r="D163" s="272">
        <v>44692</v>
      </c>
      <c r="E163" s="272">
        <v>45313</v>
      </c>
      <c r="F163" s="267" t="s">
        <v>421</v>
      </c>
      <c r="G163" s="267" t="s">
        <v>421</v>
      </c>
      <c r="H163" s="267" t="str">
        <f t="shared" si="4"/>
        <v>T</v>
      </c>
      <c r="I163" s="266" t="s">
        <v>43</v>
      </c>
      <c r="J163" s="266" t="s">
        <v>43</v>
      </c>
      <c r="K163" s="266" t="str">
        <f t="shared" si="5"/>
        <v>T</v>
      </c>
    </row>
    <row r="164" spans="2:11" x14ac:dyDescent="0.2">
      <c r="B164" s="257"/>
      <c r="C164" s="270" t="s">
        <v>38</v>
      </c>
      <c r="D164" s="272">
        <v>44888</v>
      </c>
      <c r="E164" s="272">
        <v>45271</v>
      </c>
      <c r="F164" s="267" t="s">
        <v>420</v>
      </c>
      <c r="G164" s="267" t="s">
        <v>421</v>
      </c>
      <c r="H164" s="267" t="str">
        <f t="shared" si="4"/>
        <v>F</v>
      </c>
      <c r="I164" s="266" t="s">
        <v>43</v>
      </c>
      <c r="J164" s="266" t="s">
        <v>43</v>
      </c>
      <c r="K164" s="266" t="str">
        <f t="shared" si="5"/>
        <v>T</v>
      </c>
    </row>
    <row r="165" spans="2:11" x14ac:dyDescent="0.2">
      <c r="B165" s="257"/>
      <c r="C165" s="270" t="s">
        <v>367</v>
      </c>
      <c r="D165" s="272">
        <v>45062</v>
      </c>
      <c r="E165" s="272">
        <v>45378</v>
      </c>
      <c r="F165" s="267" t="s">
        <v>420</v>
      </c>
      <c r="G165" s="267" t="s">
        <v>421</v>
      </c>
      <c r="H165" s="267" t="str">
        <f t="shared" si="4"/>
        <v>F</v>
      </c>
      <c r="I165" s="266" t="s">
        <v>43</v>
      </c>
      <c r="J165" s="266" t="s">
        <v>43</v>
      </c>
      <c r="K165" s="266" t="str">
        <f t="shared" si="5"/>
        <v>T</v>
      </c>
    </row>
    <row r="166" spans="2:11" x14ac:dyDescent="0.2">
      <c r="B166" s="257"/>
      <c r="C166" s="270" t="s">
        <v>30</v>
      </c>
      <c r="D166" s="272">
        <v>45111</v>
      </c>
      <c r="E166" s="272">
        <v>45397</v>
      </c>
      <c r="F166" s="267" t="s">
        <v>421</v>
      </c>
      <c r="G166" s="267" t="s">
        <v>421</v>
      </c>
      <c r="H166" s="267" t="str">
        <f t="shared" si="4"/>
        <v>T</v>
      </c>
      <c r="I166" s="266" t="s">
        <v>43</v>
      </c>
      <c r="J166" s="266" t="s">
        <v>43</v>
      </c>
      <c r="K166" s="266" t="str">
        <f t="shared" si="5"/>
        <v>T</v>
      </c>
    </row>
    <row r="167" spans="2:11" x14ac:dyDescent="0.2">
      <c r="B167" s="257"/>
      <c r="C167" s="270" t="s">
        <v>32</v>
      </c>
      <c r="D167" s="272">
        <v>45223</v>
      </c>
      <c r="E167" s="272">
        <v>45410</v>
      </c>
      <c r="F167" s="267" t="s">
        <v>420</v>
      </c>
      <c r="G167" s="267" t="s">
        <v>421</v>
      </c>
      <c r="H167" s="267" t="str">
        <f t="shared" si="4"/>
        <v>F</v>
      </c>
      <c r="I167" s="266" t="s">
        <v>45</v>
      </c>
      <c r="J167" s="266" t="s">
        <v>43</v>
      </c>
      <c r="K167" s="266" t="str">
        <f t="shared" si="5"/>
        <v>F</v>
      </c>
    </row>
    <row r="168" spans="2:11" x14ac:dyDescent="0.2">
      <c r="B168" s="252"/>
      <c r="C168" s="273" t="s">
        <v>423</v>
      </c>
      <c r="D168" s="274">
        <v>44235</v>
      </c>
      <c r="E168" s="274">
        <v>45342</v>
      </c>
      <c r="F168" s="275" t="s">
        <v>57</v>
      </c>
      <c r="G168" s="275" t="s">
        <v>57</v>
      </c>
      <c r="H168" s="275" t="s">
        <v>57</v>
      </c>
      <c r="I168" s="275" t="s">
        <v>57</v>
      </c>
      <c r="J168" s="275" t="s">
        <v>57</v>
      </c>
      <c r="K168" s="275" t="s">
        <v>57</v>
      </c>
    </row>
    <row r="169" spans="2:11" x14ac:dyDescent="0.2">
      <c r="B169" s="276" t="s">
        <v>82</v>
      </c>
      <c r="C169" s="270" t="s">
        <v>166</v>
      </c>
      <c r="D169" s="272">
        <v>43948</v>
      </c>
      <c r="E169" s="272">
        <v>44536</v>
      </c>
      <c r="F169" s="267" t="s">
        <v>420</v>
      </c>
      <c r="G169" s="267" t="s">
        <v>421</v>
      </c>
      <c r="H169" s="267" t="str">
        <f t="shared" si="4"/>
        <v>F</v>
      </c>
      <c r="I169" s="266" t="s">
        <v>45</v>
      </c>
      <c r="J169" s="266" t="s">
        <v>43</v>
      </c>
      <c r="K169" s="266" t="str">
        <f t="shared" si="5"/>
        <v>F</v>
      </c>
    </row>
    <row r="170" spans="2:11" x14ac:dyDescent="0.2">
      <c r="B170" s="257"/>
      <c r="C170" s="270" t="s">
        <v>15</v>
      </c>
      <c r="D170" s="272">
        <v>43948</v>
      </c>
      <c r="E170" s="272">
        <v>45077</v>
      </c>
      <c r="F170" s="267" t="s">
        <v>420</v>
      </c>
      <c r="G170" s="267" t="s">
        <v>421</v>
      </c>
      <c r="H170" s="267" t="str">
        <f t="shared" si="4"/>
        <v>F</v>
      </c>
      <c r="I170" s="266" t="s">
        <v>43</v>
      </c>
      <c r="J170" s="266" t="s">
        <v>43</v>
      </c>
      <c r="K170" s="266" t="str">
        <f t="shared" si="5"/>
        <v>T</v>
      </c>
    </row>
    <row r="171" spans="2:11" x14ac:dyDescent="0.2">
      <c r="B171" s="257"/>
      <c r="C171" s="270" t="s">
        <v>167</v>
      </c>
      <c r="D171" s="272">
        <v>43949</v>
      </c>
      <c r="E171" s="272">
        <v>44751</v>
      </c>
      <c r="F171" s="267" t="s">
        <v>420</v>
      </c>
      <c r="G171" s="267" t="s">
        <v>421</v>
      </c>
      <c r="H171" s="267" t="str">
        <f t="shared" si="4"/>
        <v>F</v>
      </c>
      <c r="I171" s="266" t="s">
        <v>45</v>
      </c>
      <c r="J171" s="266" t="s">
        <v>43</v>
      </c>
      <c r="K171" s="266" t="str">
        <f t="shared" si="5"/>
        <v>F</v>
      </c>
    </row>
    <row r="172" spans="2:11" x14ac:dyDescent="0.2">
      <c r="B172" s="257"/>
      <c r="C172" s="270" t="s">
        <v>9</v>
      </c>
      <c r="D172" s="272">
        <v>43952</v>
      </c>
      <c r="E172" s="272">
        <v>44935</v>
      </c>
      <c r="F172" s="267" t="s">
        <v>421</v>
      </c>
      <c r="G172" s="267" t="s">
        <v>421</v>
      </c>
      <c r="H172" s="267" t="str">
        <f t="shared" si="4"/>
        <v>T</v>
      </c>
      <c r="I172" s="266" t="s">
        <v>43</v>
      </c>
      <c r="J172" s="266" t="s">
        <v>43</v>
      </c>
      <c r="K172" s="266" t="str">
        <f t="shared" si="5"/>
        <v>T</v>
      </c>
    </row>
    <row r="173" spans="2:11" x14ac:dyDescent="0.2">
      <c r="B173" s="257"/>
      <c r="C173" s="270" t="s">
        <v>374</v>
      </c>
      <c r="D173" s="272">
        <v>44009</v>
      </c>
      <c r="E173" s="272">
        <v>44501</v>
      </c>
      <c r="F173" s="267" t="s">
        <v>421</v>
      </c>
      <c r="G173" s="267" t="s">
        <v>421</v>
      </c>
      <c r="H173" s="267" t="str">
        <f t="shared" si="4"/>
        <v>T</v>
      </c>
      <c r="I173" s="266" t="s">
        <v>45</v>
      </c>
      <c r="J173" s="266" t="s">
        <v>43</v>
      </c>
      <c r="K173" s="266" t="str">
        <f t="shared" si="5"/>
        <v>F</v>
      </c>
    </row>
    <row r="174" spans="2:11" x14ac:dyDescent="0.2">
      <c r="B174" s="257"/>
      <c r="C174" s="270" t="s">
        <v>20</v>
      </c>
      <c r="D174" s="272">
        <v>44044</v>
      </c>
      <c r="E174" s="272">
        <v>45301</v>
      </c>
      <c r="F174" s="267" t="s">
        <v>421</v>
      </c>
      <c r="G174" s="267" t="s">
        <v>421</v>
      </c>
      <c r="H174" s="267" t="str">
        <f t="shared" si="4"/>
        <v>T</v>
      </c>
      <c r="I174" s="266" t="s">
        <v>43</v>
      </c>
      <c r="J174" s="266" t="s">
        <v>43</v>
      </c>
      <c r="K174" s="266" t="str">
        <f t="shared" si="5"/>
        <v>T</v>
      </c>
    </row>
    <row r="175" spans="2:11" x14ac:dyDescent="0.2">
      <c r="B175" s="257"/>
      <c r="C175" s="270" t="s">
        <v>83</v>
      </c>
      <c r="D175" s="272">
        <v>44051</v>
      </c>
      <c r="E175" s="272">
        <v>45019</v>
      </c>
      <c r="F175" s="267" t="s">
        <v>421</v>
      </c>
      <c r="G175" s="267" t="s">
        <v>421</v>
      </c>
      <c r="H175" s="267" t="str">
        <f t="shared" si="4"/>
        <v>T</v>
      </c>
      <c r="I175" s="266" t="s">
        <v>45</v>
      </c>
      <c r="J175" s="266" t="s">
        <v>43</v>
      </c>
      <c r="K175" s="266" t="str">
        <f t="shared" si="5"/>
        <v>F</v>
      </c>
    </row>
    <row r="176" spans="2:11" x14ac:dyDescent="0.2">
      <c r="B176" s="257"/>
      <c r="C176" s="270" t="s">
        <v>21</v>
      </c>
      <c r="D176" s="272">
        <v>44446</v>
      </c>
      <c r="E176" s="272">
        <v>45035</v>
      </c>
      <c r="F176" s="267" t="s">
        <v>421</v>
      </c>
      <c r="G176" s="267" t="s">
        <v>421</v>
      </c>
      <c r="H176" s="267" t="str">
        <f t="shared" si="4"/>
        <v>T</v>
      </c>
      <c r="I176" s="266" t="s">
        <v>43</v>
      </c>
      <c r="J176" s="266" t="s">
        <v>43</v>
      </c>
      <c r="K176" s="266" t="str">
        <f t="shared" si="5"/>
        <v>T</v>
      </c>
    </row>
    <row r="177" spans="2:11" x14ac:dyDescent="0.2">
      <c r="B177" s="257"/>
      <c r="C177" s="270" t="s">
        <v>84</v>
      </c>
      <c r="D177" s="272">
        <v>44568</v>
      </c>
      <c r="E177" s="272">
        <v>44828</v>
      </c>
      <c r="F177" s="267" t="s">
        <v>420</v>
      </c>
      <c r="G177" s="267" t="s">
        <v>421</v>
      </c>
      <c r="H177" s="267" t="str">
        <f t="shared" si="4"/>
        <v>F</v>
      </c>
      <c r="I177" s="266" t="s">
        <v>43</v>
      </c>
      <c r="J177" s="266" t="s">
        <v>43</v>
      </c>
      <c r="K177" s="266" t="str">
        <f t="shared" si="5"/>
        <v>T</v>
      </c>
    </row>
    <row r="178" spans="2:11" x14ac:dyDescent="0.2">
      <c r="B178" s="257"/>
      <c r="C178" s="270" t="s">
        <v>377</v>
      </c>
      <c r="D178" s="272">
        <v>44569</v>
      </c>
      <c r="E178" s="272">
        <v>45159</v>
      </c>
      <c r="F178" s="267" t="s">
        <v>420</v>
      </c>
      <c r="G178" s="267" t="s">
        <v>421</v>
      </c>
      <c r="H178" s="267" t="str">
        <f t="shared" si="4"/>
        <v>F</v>
      </c>
      <c r="I178" s="266" t="s">
        <v>43</v>
      </c>
      <c r="J178" s="266" t="s">
        <v>43</v>
      </c>
      <c r="K178" s="266" t="str">
        <f t="shared" si="5"/>
        <v>T</v>
      </c>
    </row>
    <row r="179" spans="2:11" x14ac:dyDescent="0.2">
      <c r="B179" s="257"/>
      <c r="C179" s="270" t="s">
        <v>85</v>
      </c>
      <c r="D179" s="272">
        <v>44711</v>
      </c>
      <c r="E179" s="272">
        <v>45215</v>
      </c>
      <c r="F179" s="267" t="s">
        <v>420</v>
      </c>
      <c r="G179" s="267" t="s">
        <v>421</v>
      </c>
      <c r="H179" s="267" t="str">
        <f t="shared" si="4"/>
        <v>F</v>
      </c>
      <c r="I179" s="266" t="s">
        <v>43</v>
      </c>
      <c r="J179" s="266" t="s">
        <v>43</v>
      </c>
      <c r="K179" s="266" t="str">
        <f t="shared" si="5"/>
        <v>T</v>
      </c>
    </row>
    <row r="180" spans="2:11" x14ac:dyDescent="0.2">
      <c r="B180" s="257"/>
      <c r="C180" s="270" t="s">
        <v>378</v>
      </c>
      <c r="D180" s="272">
        <v>44808</v>
      </c>
      <c r="E180" s="272">
        <v>45267</v>
      </c>
      <c r="F180" s="267" t="s">
        <v>421</v>
      </c>
      <c r="G180" s="267" t="s">
        <v>421</v>
      </c>
      <c r="H180" s="267" t="str">
        <f t="shared" si="4"/>
        <v>T</v>
      </c>
      <c r="I180" s="266" t="s">
        <v>43</v>
      </c>
      <c r="J180" s="266" t="s">
        <v>43</v>
      </c>
      <c r="K180" s="266" t="str">
        <f t="shared" si="5"/>
        <v>T</v>
      </c>
    </row>
    <row r="181" spans="2:11" x14ac:dyDescent="0.2">
      <c r="B181" s="257"/>
      <c r="C181" s="270" t="s">
        <v>379</v>
      </c>
      <c r="D181" s="272">
        <v>44904</v>
      </c>
      <c r="E181" s="272">
        <v>45295</v>
      </c>
      <c r="F181" s="267" t="s">
        <v>421</v>
      </c>
      <c r="G181" s="267" t="s">
        <v>421</v>
      </c>
      <c r="H181" s="267" t="str">
        <f t="shared" si="4"/>
        <v>T</v>
      </c>
      <c r="I181" s="266" t="s">
        <v>43</v>
      </c>
      <c r="J181" s="266" t="s">
        <v>43</v>
      </c>
      <c r="K181" s="266" t="str">
        <f t="shared" si="5"/>
        <v>T</v>
      </c>
    </row>
    <row r="182" spans="2:11" x14ac:dyDescent="0.2">
      <c r="B182" s="257"/>
      <c r="C182" s="270" t="s">
        <v>37</v>
      </c>
      <c r="D182" s="272">
        <v>44930</v>
      </c>
      <c r="E182" s="272">
        <v>45299</v>
      </c>
      <c r="F182" s="267" t="s">
        <v>421</v>
      </c>
      <c r="G182" s="267" t="s">
        <v>421</v>
      </c>
      <c r="H182" s="267" t="str">
        <f t="shared" si="4"/>
        <v>T</v>
      </c>
      <c r="I182" s="266" t="s">
        <v>43</v>
      </c>
      <c r="J182" s="266" t="s">
        <v>43</v>
      </c>
      <c r="K182" s="266" t="str">
        <f t="shared" si="5"/>
        <v>T</v>
      </c>
    </row>
    <row r="183" spans="2:11" x14ac:dyDescent="0.2">
      <c r="B183" s="252"/>
      <c r="C183" s="273" t="s">
        <v>424</v>
      </c>
      <c r="D183" s="274">
        <v>43948</v>
      </c>
      <c r="E183" s="274">
        <v>45302</v>
      </c>
      <c r="F183" s="275" t="s">
        <v>57</v>
      </c>
      <c r="G183" s="275" t="s">
        <v>57</v>
      </c>
      <c r="H183" s="275" t="s">
        <v>57</v>
      </c>
      <c r="I183" s="275" t="s">
        <v>57</v>
      </c>
      <c r="J183" s="275" t="s">
        <v>57</v>
      </c>
      <c r="K183" s="275" t="s">
        <v>57</v>
      </c>
    </row>
    <row r="184" spans="2:11" x14ac:dyDescent="0.2">
      <c r="B184" s="276" t="s">
        <v>86</v>
      </c>
      <c r="C184" s="270" t="s">
        <v>36</v>
      </c>
      <c r="D184" s="272">
        <v>43896</v>
      </c>
      <c r="E184" s="272">
        <v>44628</v>
      </c>
      <c r="F184" s="267" t="s">
        <v>420</v>
      </c>
      <c r="G184" s="267" t="s">
        <v>421</v>
      </c>
      <c r="H184" s="267" t="str">
        <f t="shared" si="4"/>
        <v>F</v>
      </c>
      <c r="I184" s="266" t="s">
        <v>43</v>
      </c>
      <c r="J184" s="266" t="s">
        <v>43</v>
      </c>
      <c r="K184" s="266" t="str">
        <f t="shared" si="5"/>
        <v>T</v>
      </c>
    </row>
    <row r="185" spans="2:11" x14ac:dyDescent="0.2">
      <c r="B185" s="257"/>
      <c r="C185" s="270" t="s">
        <v>24</v>
      </c>
      <c r="D185" s="272">
        <v>44032</v>
      </c>
      <c r="E185" s="272">
        <v>45156</v>
      </c>
      <c r="F185" s="267" t="s">
        <v>421</v>
      </c>
      <c r="G185" s="267" t="s">
        <v>421</v>
      </c>
      <c r="H185" s="267" t="str">
        <f t="shared" si="4"/>
        <v>T</v>
      </c>
      <c r="I185" s="266" t="s">
        <v>43</v>
      </c>
      <c r="J185" s="266" t="s">
        <v>43</v>
      </c>
      <c r="K185" s="266" t="str">
        <f t="shared" si="5"/>
        <v>T</v>
      </c>
    </row>
    <row r="186" spans="2:11" x14ac:dyDescent="0.2">
      <c r="B186" s="257"/>
      <c r="C186" s="270" t="s">
        <v>25</v>
      </c>
      <c r="D186" s="272">
        <v>44032</v>
      </c>
      <c r="E186" s="272">
        <v>45273</v>
      </c>
      <c r="F186" s="267" t="s">
        <v>420</v>
      </c>
      <c r="G186" s="267" t="s">
        <v>421</v>
      </c>
      <c r="H186" s="267" t="str">
        <f t="shared" si="4"/>
        <v>F</v>
      </c>
      <c r="I186" s="266" t="s">
        <v>43</v>
      </c>
      <c r="J186" s="266" t="s">
        <v>43</v>
      </c>
      <c r="K186" s="266" t="str">
        <f t="shared" si="5"/>
        <v>T</v>
      </c>
    </row>
    <row r="187" spans="2:11" x14ac:dyDescent="0.2">
      <c r="B187" s="257"/>
      <c r="C187" s="270" t="s">
        <v>20</v>
      </c>
      <c r="D187" s="272">
        <v>44034</v>
      </c>
      <c r="E187" s="272">
        <v>45311</v>
      </c>
      <c r="F187" s="267" t="s">
        <v>420</v>
      </c>
      <c r="G187" s="267" t="s">
        <v>421</v>
      </c>
      <c r="H187" s="267" t="str">
        <f t="shared" si="4"/>
        <v>F</v>
      </c>
      <c r="I187" s="266" t="s">
        <v>43</v>
      </c>
      <c r="J187" s="266" t="s">
        <v>43</v>
      </c>
      <c r="K187" s="266" t="str">
        <f t="shared" si="5"/>
        <v>T</v>
      </c>
    </row>
    <row r="188" spans="2:11" x14ac:dyDescent="0.2">
      <c r="B188" s="257"/>
      <c r="C188" s="270" t="s">
        <v>13</v>
      </c>
      <c r="D188" s="272">
        <v>44199</v>
      </c>
      <c r="E188" s="272">
        <v>44608</v>
      </c>
      <c r="F188" s="267" t="s">
        <v>421</v>
      </c>
      <c r="G188" s="267" t="s">
        <v>421</v>
      </c>
      <c r="H188" s="267" t="str">
        <f t="shared" si="4"/>
        <v>T</v>
      </c>
      <c r="I188" s="266" t="s">
        <v>43</v>
      </c>
      <c r="J188" s="266" t="s">
        <v>43</v>
      </c>
      <c r="K188" s="266" t="str">
        <f t="shared" si="5"/>
        <v>T</v>
      </c>
    </row>
    <row r="189" spans="2:11" x14ac:dyDescent="0.2">
      <c r="B189" s="257"/>
      <c r="C189" s="270" t="s">
        <v>14</v>
      </c>
      <c r="D189" s="272">
        <v>44199</v>
      </c>
      <c r="E189" s="272">
        <v>44636</v>
      </c>
      <c r="F189" s="267" t="s">
        <v>421</v>
      </c>
      <c r="G189" s="267" t="s">
        <v>421</v>
      </c>
      <c r="H189" s="267" t="str">
        <f t="shared" si="4"/>
        <v>T</v>
      </c>
      <c r="I189" s="266" t="s">
        <v>43</v>
      </c>
      <c r="J189" s="266" t="s">
        <v>43</v>
      </c>
      <c r="K189" s="266" t="str">
        <f t="shared" si="5"/>
        <v>T</v>
      </c>
    </row>
    <row r="190" spans="2:11" x14ac:dyDescent="0.2">
      <c r="B190" s="257"/>
      <c r="C190" s="270" t="s">
        <v>18</v>
      </c>
      <c r="D190" s="272">
        <v>44199</v>
      </c>
      <c r="E190" s="272">
        <v>45119</v>
      </c>
      <c r="F190" s="267" t="s">
        <v>421</v>
      </c>
      <c r="G190" s="267" t="s">
        <v>421</v>
      </c>
      <c r="H190" s="267" t="str">
        <f t="shared" si="4"/>
        <v>T</v>
      </c>
      <c r="I190" s="266" t="s">
        <v>45</v>
      </c>
      <c r="J190" s="266" t="s">
        <v>43</v>
      </c>
      <c r="K190" s="266" t="str">
        <f t="shared" si="5"/>
        <v>F</v>
      </c>
    </row>
    <row r="191" spans="2:11" x14ac:dyDescent="0.2">
      <c r="B191" s="257"/>
      <c r="C191" s="270" t="s">
        <v>28</v>
      </c>
      <c r="D191" s="272">
        <v>44568</v>
      </c>
      <c r="E191" s="272">
        <v>45276</v>
      </c>
      <c r="F191" s="267" t="s">
        <v>420</v>
      </c>
      <c r="G191" s="267" t="s">
        <v>421</v>
      </c>
      <c r="H191" s="267" t="str">
        <f t="shared" si="4"/>
        <v>F</v>
      </c>
      <c r="I191" s="266" t="s">
        <v>43</v>
      </c>
      <c r="J191" s="266" t="s">
        <v>43</v>
      </c>
      <c r="K191" s="266" t="str">
        <f t="shared" si="5"/>
        <v>T</v>
      </c>
    </row>
    <row r="192" spans="2:11" x14ac:dyDescent="0.2">
      <c r="B192" s="257"/>
      <c r="C192" s="270" t="s">
        <v>38</v>
      </c>
      <c r="D192" s="272">
        <v>44611</v>
      </c>
      <c r="E192" s="272">
        <v>45303</v>
      </c>
      <c r="F192" s="267" t="s">
        <v>421</v>
      </c>
      <c r="G192" s="267" t="s">
        <v>421</v>
      </c>
      <c r="H192" s="267" t="str">
        <f t="shared" si="4"/>
        <v>T</v>
      </c>
      <c r="I192" s="266" t="s">
        <v>43</v>
      </c>
      <c r="J192" s="266" t="s">
        <v>43</v>
      </c>
      <c r="K192" s="266" t="str">
        <f t="shared" si="5"/>
        <v>T</v>
      </c>
    </row>
    <row r="193" spans="2:11" x14ac:dyDescent="0.2">
      <c r="B193" s="257"/>
      <c r="C193" s="270" t="s">
        <v>37</v>
      </c>
      <c r="D193" s="272">
        <v>44976</v>
      </c>
      <c r="E193" s="272">
        <v>45309</v>
      </c>
      <c r="F193" s="267" t="s">
        <v>421</v>
      </c>
      <c r="G193" s="267" t="s">
        <v>421</v>
      </c>
      <c r="H193" s="267" t="str">
        <f t="shared" si="4"/>
        <v>T</v>
      </c>
      <c r="I193" s="266" t="s">
        <v>43</v>
      </c>
      <c r="J193" s="266" t="s">
        <v>43</v>
      </c>
      <c r="K193" s="266" t="str">
        <f t="shared" si="5"/>
        <v>T</v>
      </c>
    </row>
    <row r="194" spans="2:11" x14ac:dyDescent="0.2">
      <c r="B194" s="252"/>
      <c r="C194" s="273" t="s">
        <v>429</v>
      </c>
      <c r="D194" s="274">
        <v>43885</v>
      </c>
      <c r="E194" s="274">
        <v>45312</v>
      </c>
      <c r="F194" s="275" t="s">
        <v>57</v>
      </c>
      <c r="G194" s="275" t="s">
        <v>57</v>
      </c>
      <c r="H194" s="275" t="s">
        <v>57</v>
      </c>
      <c r="I194" s="275" t="s">
        <v>57</v>
      </c>
      <c r="J194" s="275" t="s">
        <v>57</v>
      </c>
      <c r="K194" s="275" t="s">
        <v>57</v>
      </c>
    </row>
    <row r="195" spans="2:11" x14ac:dyDescent="0.2">
      <c r="B195" s="276" t="s">
        <v>87</v>
      </c>
      <c r="C195" s="277" t="s">
        <v>9</v>
      </c>
      <c r="D195" s="278">
        <v>44213</v>
      </c>
      <c r="E195" s="278">
        <v>44865</v>
      </c>
      <c r="F195" s="279" t="s">
        <v>421</v>
      </c>
      <c r="G195" s="279" t="s">
        <v>421</v>
      </c>
      <c r="H195" s="279" t="str">
        <f t="shared" si="4"/>
        <v>T</v>
      </c>
      <c r="I195" s="280" t="s">
        <v>45</v>
      </c>
      <c r="J195" s="280" t="s">
        <v>43</v>
      </c>
      <c r="K195" s="280" t="str">
        <f t="shared" si="5"/>
        <v>F</v>
      </c>
    </row>
    <row r="196" spans="2:11" x14ac:dyDescent="0.2">
      <c r="B196" s="257"/>
      <c r="C196" s="270" t="s">
        <v>10</v>
      </c>
      <c r="D196" s="272">
        <v>44312</v>
      </c>
      <c r="E196" s="272">
        <v>44789</v>
      </c>
      <c r="F196" s="267" t="s">
        <v>421</v>
      </c>
      <c r="G196" s="267" t="s">
        <v>421</v>
      </c>
      <c r="H196" s="267" t="str">
        <f t="shared" si="4"/>
        <v>T</v>
      </c>
      <c r="I196" s="266" t="s">
        <v>43</v>
      </c>
      <c r="J196" s="266" t="s">
        <v>43</v>
      </c>
      <c r="K196" s="266" t="str">
        <f t="shared" si="5"/>
        <v>T</v>
      </c>
    </row>
    <row r="197" spans="2:11" x14ac:dyDescent="0.2">
      <c r="B197" s="257"/>
      <c r="C197" s="270" t="s">
        <v>14</v>
      </c>
      <c r="D197" s="272">
        <v>44366</v>
      </c>
      <c r="E197" s="272">
        <v>44789</v>
      </c>
      <c r="F197" s="267" t="s">
        <v>421</v>
      </c>
      <c r="G197" s="267" t="s">
        <v>421</v>
      </c>
      <c r="H197" s="267" t="str">
        <f t="shared" si="4"/>
        <v>T</v>
      </c>
      <c r="I197" s="266" t="s">
        <v>43</v>
      </c>
      <c r="J197" s="266" t="s">
        <v>43</v>
      </c>
      <c r="K197" s="266" t="str">
        <f t="shared" si="5"/>
        <v>T</v>
      </c>
    </row>
    <row r="198" spans="2:11" x14ac:dyDescent="0.2">
      <c r="B198" s="257"/>
      <c r="C198" s="270" t="s">
        <v>38</v>
      </c>
      <c r="D198" s="272">
        <v>44774</v>
      </c>
      <c r="E198" s="272">
        <v>45251</v>
      </c>
      <c r="F198" s="267" t="s">
        <v>421</v>
      </c>
      <c r="G198" s="267" t="s">
        <v>421</v>
      </c>
      <c r="H198" s="267" t="str">
        <f t="shared" si="4"/>
        <v>T</v>
      </c>
      <c r="I198" s="266" t="s">
        <v>43</v>
      </c>
      <c r="J198" s="266" t="s">
        <v>43</v>
      </c>
      <c r="K198" s="266" t="str">
        <f t="shared" si="5"/>
        <v>T</v>
      </c>
    </row>
    <row r="199" spans="2:11" ht="17" thickBot="1" x14ac:dyDescent="0.25">
      <c r="B199" s="281"/>
      <c r="C199" s="282" t="s">
        <v>430</v>
      </c>
      <c r="D199" s="200">
        <v>44194</v>
      </c>
      <c r="E199" s="200">
        <v>45261</v>
      </c>
      <c r="F199" s="283" t="s">
        <v>57</v>
      </c>
      <c r="G199" s="283" t="s">
        <v>57</v>
      </c>
      <c r="H199" s="283" t="s">
        <v>57</v>
      </c>
      <c r="I199" s="283" t="s">
        <v>57</v>
      </c>
      <c r="J199" s="283" t="s">
        <v>57</v>
      </c>
      <c r="K199" s="283" t="s">
        <v>57</v>
      </c>
    </row>
    <row r="236" spans="2:11" ht="17" thickBot="1" x14ac:dyDescent="0.25"/>
    <row r="237" spans="2:11" x14ac:dyDescent="0.2">
      <c r="B237" s="196" t="s">
        <v>39</v>
      </c>
      <c r="C237" s="269" t="s">
        <v>40</v>
      </c>
      <c r="D237" s="201" t="s">
        <v>46</v>
      </c>
      <c r="E237" s="201" t="s">
        <v>56</v>
      </c>
      <c r="F237" s="265" t="s">
        <v>54</v>
      </c>
      <c r="G237" s="265" t="s">
        <v>53</v>
      </c>
      <c r="H237" s="265" t="s">
        <v>153</v>
      </c>
      <c r="I237" s="196" t="s">
        <v>51</v>
      </c>
      <c r="J237" s="196" t="s">
        <v>52</v>
      </c>
      <c r="K237" s="196" t="s">
        <v>50</v>
      </c>
    </row>
    <row r="238" spans="2:11" x14ac:dyDescent="0.2">
      <c r="B238" s="276" t="s">
        <v>8</v>
      </c>
      <c r="C238" s="270" t="s">
        <v>16</v>
      </c>
      <c r="D238" s="272">
        <v>43899</v>
      </c>
      <c r="E238" s="272">
        <v>45124</v>
      </c>
      <c r="F238" s="267" t="s">
        <v>420</v>
      </c>
      <c r="G238" s="267" t="s">
        <v>421</v>
      </c>
      <c r="H238" s="267" t="str">
        <f>IF(F238=G238,"T","F")</f>
        <v>F</v>
      </c>
      <c r="I238" s="266" t="s">
        <v>45</v>
      </c>
      <c r="J238" s="266" t="s">
        <v>43</v>
      </c>
      <c r="K238" s="266" t="str">
        <f>IF(I238=J238,"T","F")</f>
        <v>F</v>
      </c>
    </row>
    <row r="239" spans="2:11" x14ac:dyDescent="0.2">
      <c r="B239" s="257"/>
      <c r="C239" s="270" t="s">
        <v>36</v>
      </c>
      <c r="D239" s="272">
        <v>43902</v>
      </c>
      <c r="E239" s="272">
        <v>45355</v>
      </c>
      <c r="F239" s="267" t="s">
        <v>420</v>
      </c>
      <c r="G239" s="267" t="s">
        <v>421</v>
      </c>
      <c r="H239" s="267" t="str">
        <f t="shared" ref="H239:H248" si="6">IF(F239=G239,"T","F")</f>
        <v>F</v>
      </c>
      <c r="I239" s="266" t="s">
        <v>45</v>
      </c>
      <c r="J239" s="266" t="s">
        <v>43</v>
      </c>
      <c r="K239" s="266" t="str">
        <f t="shared" ref="K239:K248" si="7">IF(I239=J239,"T","F")</f>
        <v>F</v>
      </c>
    </row>
    <row r="240" spans="2:11" x14ac:dyDescent="0.2">
      <c r="B240" s="257"/>
      <c r="C240" s="270" t="s">
        <v>20</v>
      </c>
      <c r="D240" s="272">
        <v>43924</v>
      </c>
      <c r="E240" s="272">
        <v>45526</v>
      </c>
      <c r="F240" s="267" t="s">
        <v>421</v>
      </c>
      <c r="G240" s="267" t="s">
        <v>421</v>
      </c>
      <c r="H240" s="267" t="str">
        <f t="shared" si="6"/>
        <v>T</v>
      </c>
      <c r="I240" s="266" t="s">
        <v>43</v>
      </c>
      <c r="J240" s="266" t="s">
        <v>43</v>
      </c>
      <c r="K240" s="266" t="str">
        <f t="shared" si="7"/>
        <v>T</v>
      </c>
    </row>
    <row r="241" spans="2:11" x14ac:dyDescent="0.2">
      <c r="B241" s="257"/>
      <c r="C241" s="270" t="s">
        <v>38</v>
      </c>
      <c r="D241" s="272">
        <v>43925</v>
      </c>
      <c r="E241" s="272">
        <v>45489</v>
      </c>
      <c r="F241" s="267" t="s">
        <v>421</v>
      </c>
      <c r="G241" s="267" t="s">
        <v>421</v>
      </c>
      <c r="H241" s="267" t="str">
        <f t="shared" si="6"/>
        <v>T</v>
      </c>
      <c r="I241" s="266" t="s">
        <v>43</v>
      </c>
      <c r="J241" s="266" t="s">
        <v>43</v>
      </c>
      <c r="K241" s="266" t="str">
        <f t="shared" si="7"/>
        <v>T</v>
      </c>
    </row>
    <row r="242" spans="2:11" x14ac:dyDescent="0.2">
      <c r="B242" s="257"/>
      <c r="C242" s="270" t="s">
        <v>365</v>
      </c>
      <c r="D242" s="272">
        <v>43965</v>
      </c>
      <c r="E242" s="272">
        <v>44958</v>
      </c>
      <c r="F242" s="267" t="s">
        <v>421</v>
      </c>
      <c r="G242" s="267" t="s">
        <v>421</v>
      </c>
      <c r="H242" s="267" t="str">
        <f t="shared" si="6"/>
        <v>T</v>
      </c>
      <c r="I242" s="266" t="s">
        <v>43</v>
      </c>
      <c r="J242" s="266" t="s">
        <v>43</v>
      </c>
      <c r="K242" s="266" t="str">
        <f t="shared" si="7"/>
        <v>T</v>
      </c>
    </row>
    <row r="243" spans="2:11" x14ac:dyDescent="0.2">
      <c r="B243" s="257"/>
      <c r="C243" s="270" t="s">
        <v>27</v>
      </c>
      <c r="D243" s="272">
        <v>44061</v>
      </c>
      <c r="E243" s="272">
        <v>45532</v>
      </c>
      <c r="F243" s="267" t="s">
        <v>421</v>
      </c>
      <c r="G243" s="267" t="s">
        <v>421</v>
      </c>
      <c r="H243" s="267" t="str">
        <f t="shared" si="6"/>
        <v>T</v>
      </c>
      <c r="I243" s="266" t="s">
        <v>43</v>
      </c>
      <c r="J243" s="266" t="s">
        <v>43</v>
      </c>
      <c r="K243" s="266" t="str">
        <f t="shared" si="7"/>
        <v>T</v>
      </c>
    </row>
    <row r="244" spans="2:11" x14ac:dyDescent="0.2">
      <c r="B244" s="257"/>
      <c r="C244" s="270" t="s">
        <v>26</v>
      </c>
      <c r="D244" s="272">
        <v>44505</v>
      </c>
      <c r="E244" s="272">
        <v>45393</v>
      </c>
      <c r="F244" s="267" t="s">
        <v>421</v>
      </c>
      <c r="G244" s="267" t="s">
        <v>421</v>
      </c>
      <c r="H244" s="267" t="str">
        <f t="shared" si="6"/>
        <v>T</v>
      </c>
      <c r="I244" s="266" t="s">
        <v>43</v>
      </c>
      <c r="J244" s="266" t="s">
        <v>43</v>
      </c>
      <c r="K244" s="266" t="str">
        <f t="shared" si="7"/>
        <v>T</v>
      </c>
    </row>
    <row r="245" spans="2:11" x14ac:dyDescent="0.2">
      <c r="B245" s="257"/>
      <c r="C245" s="270" t="s">
        <v>28</v>
      </c>
      <c r="D245" s="272">
        <v>44530</v>
      </c>
      <c r="E245" s="272">
        <v>45378</v>
      </c>
      <c r="F245" s="267" t="s">
        <v>421</v>
      </c>
      <c r="G245" s="267" t="s">
        <v>421</v>
      </c>
      <c r="H245" s="267" t="str">
        <f t="shared" si="6"/>
        <v>T</v>
      </c>
      <c r="I245" s="266" t="s">
        <v>43</v>
      </c>
      <c r="J245" s="266" t="s">
        <v>43</v>
      </c>
      <c r="K245" s="266" t="str">
        <f t="shared" si="7"/>
        <v>T</v>
      </c>
    </row>
    <row r="246" spans="2:11" x14ac:dyDescent="0.2">
      <c r="B246" s="257"/>
      <c r="C246" s="270" t="s">
        <v>31</v>
      </c>
      <c r="D246" s="272">
        <v>44935</v>
      </c>
      <c r="E246" s="272">
        <v>45520</v>
      </c>
      <c r="F246" s="267" t="s">
        <v>421</v>
      </c>
      <c r="G246" s="267" t="s">
        <v>421</v>
      </c>
      <c r="H246" s="267" t="str">
        <f t="shared" si="6"/>
        <v>T</v>
      </c>
      <c r="I246" s="266" t="s">
        <v>43</v>
      </c>
      <c r="J246" s="266" t="s">
        <v>43</v>
      </c>
      <c r="K246" s="266" t="str">
        <f t="shared" si="7"/>
        <v>T</v>
      </c>
    </row>
    <row r="247" spans="2:11" x14ac:dyDescent="0.2">
      <c r="B247" s="257"/>
      <c r="C247" s="270" t="s">
        <v>32</v>
      </c>
      <c r="D247" s="272">
        <v>44935</v>
      </c>
      <c r="E247" s="272">
        <v>45535</v>
      </c>
      <c r="F247" s="267" t="s">
        <v>421</v>
      </c>
      <c r="G247" s="267" t="s">
        <v>421</v>
      </c>
      <c r="H247" s="267" t="str">
        <f t="shared" si="6"/>
        <v>T</v>
      </c>
      <c r="I247" s="266" t="s">
        <v>43</v>
      </c>
      <c r="J247" s="266" t="s">
        <v>43</v>
      </c>
      <c r="K247" s="266" t="str">
        <f t="shared" si="7"/>
        <v>T</v>
      </c>
    </row>
    <row r="248" spans="2:11" x14ac:dyDescent="0.2">
      <c r="B248" s="257"/>
      <c r="C248" s="270" t="s">
        <v>33</v>
      </c>
      <c r="D248" s="272">
        <v>45182</v>
      </c>
      <c r="E248" s="272">
        <v>45533</v>
      </c>
      <c r="F248" s="267" t="s">
        <v>421</v>
      </c>
      <c r="G248" s="267" t="s">
        <v>421</v>
      </c>
      <c r="H248" s="267" t="str">
        <f t="shared" si="6"/>
        <v>T</v>
      </c>
      <c r="I248" s="266" t="s">
        <v>43</v>
      </c>
      <c r="J248" s="266" t="s">
        <v>43</v>
      </c>
      <c r="K248" s="266" t="str">
        <f t="shared" si="7"/>
        <v>T</v>
      </c>
    </row>
    <row r="249" spans="2:11" x14ac:dyDescent="0.2">
      <c r="B249" s="252"/>
      <c r="C249" s="273" t="s">
        <v>405</v>
      </c>
      <c r="D249" s="274">
        <v>43892</v>
      </c>
      <c r="E249" s="274">
        <v>45520</v>
      </c>
      <c r="F249" s="275" t="s">
        <v>57</v>
      </c>
      <c r="G249" s="275" t="s">
        <v>57</v>
      </c>
      <c r="H249" s="275" t="s">
        <v>57</v>
      </c>
      <c r="I249" s="275" t="s">
        <v>57</v>
      </c>
      <c r="J249" s="275" t="s">
        <v>57</v>
      </c>
      <c r="K249" s="275" t="s">
        <v>57</v>
      </c>
    </row>
    <row r="250" spans="2:11" x14ac:dyDescent="0.2">
      <c r="B250" s="276" t="s">
        <v>47</v>
      </c>
      <c r="C250" s="270" t="s">
        <v>15</v>
      </c>
      <c r="D250" s="272">
        <v>43892</v>
      </c>
      <c r="E250" s="272">
        <v>44735</v>
      </c>
      <c r="F250" s="267" t="s">
        <v>420</v>
      </c>
      <c r="G250" s="267" t="s">
        <v>421</v>
      </c>
      <c r="H250" s="267" t="str">
        <f t="shared" ref="H250:H259" si="8">IF(F250=G250,"T","F")</f>
        <v>F</v>
      </c>
      <c r="I250" s="266" t="s">
        <v>45</v>
      </c>
      <c r="J250" s="266" t="s">
        <v>43</v>
      </c>
      <c r="K250" s="266" t="str">
        <f t="shared" ref="K250:K259" si="9">IF(I250=J250,"T","F")</f>
        <v>F</v>
      </c>
    </row>
    <row r="251" spans="2:11" x14ac:dyDescent="0.2">
      <c r="B251" s="257"/>
      <c r="C251" s="270" t="s">
        <v>36</v>
      </c>
      <c r="D251" s="272">
        <v>43893</v>
      </c>
      <c r="E251" s="272">
        <v>44623</v>
      </c>
      <c r="F251" s="267" t="s">
        <v>420</v>
      </c>
      <c r="G251" s="267" t="s">
        <v>421</v>
      </c>
      <c r="H251" s="267" t="str">
        <f t="shared" si="8"/>
        <v>F</v>
      </c>
      <c r="I251" s="266" t="s">
        <v>43</v>
      </c>
      <c r="J251" s="266" t="s">
        <v>43</v>
      </c>
      <c r="K251" s="266" t="str">
        <f t="shared" si="9"/>
        <v>T</v>
      </c>
    </row>
    <row r="252" spans="2:11" x14ac:dyDescent="0.2">
      <c r="B252" s="257"/>
      <c r="C252" s="270" t="s">
        <v>20</v>
      </c>
      <c r="D252" s="272">
        <v>44197</v>
      </c>
      <c r="E252" s="272">
        <v>45304</v>
      </c>
      <c r="F252" s="267" t="s">
        <v>421</v>
      </c>
      <c r="G252" s="267" t="s">
        <v>421</v>
      </c>
      <c r="H252" s="267" t="str">
        <f t="shared" si="8"/>
        <v>T</v>
      </c>
      <c r="I252" s="266" t="s">
        <v>43</v>
      </c>
      <c r="J252" s="266" t="s">
        <v>43</v>
      </c>
      <c r="K252" s="266" t="str">
        <f t="shared" si="9"/>
        <v>T</v>
      </c>
    </row>
    <row r="253" spans="2:11" x14ac:dyDescent="0.2">
      <c r="B253" s="257"/>
      <c r="C253" s="270" t="s">
        <v>24</v>
      </c>
      <c r="D253" s="272">
        <v>44573</v>
      </c>
      <c r="E253" s="272">
        <v>45422</v>
      </c>
      <c r="F253" s="267" t="s">
        <v>421</v>
      </c>
      <c r="G253" s="267" t="s">
        <v>421</v>
      </c>
      <c r="H253" s="267" t="str">
        <f t="shared" si="8"/>
        <v>T</v>
      </c>
      <c r="I253" s="266" t="s">
        <v>43</v>
      </c>
      <c r="J253" s="266" t="s">
        <v>43</v>
      </c>
      <c r="K253" s="266" t="str">
        <f t="shared" si="9"/>
        <v>T</v>
      </c>
    </row>
    <row r="254" spans="2:11" x14ac:dyDescent="0.2">
      <c r="B254" s="257"/>
      <c r="C254" s="270" t="s">
        <v>25</v>
      </c>
      <c r="D254" s="272">
        <v>44578</v>
      </c>
      <c r="E254" s="272">
        <v>45334</v>
      </c>
      <c r="F254" s="267" t="s">
        <v>421</v>
      </c>
      <c r="G254" s="267" t="s">
        <v>421</v>
      </c>
      <c r="H254" s="267" t="str">
        <f t="shared" si="8"/>
        <v>T</v>
      </c>
      <c r="I254" s="266" t="s">
        <v>43</v>
      </c>
      <c r="J254" s="266" t="s">
        <v>43</v>
      </c>
      <c r="K254" s="266" t="str">
        <f t="shared" si="9"/>
        <v>T</v>
      </c>
    </row>
    <row r="255" spans="2:11" x14ac:dyDescent="0.2">
      <c r="B255" s="257"/>
      <c r="C255" s="270" t="s">
        <v>28</v>
      </c>
      <c r="D255" s="272">
        <v>44603</v>
      </c>
      <c r="E255" s="272">
        <v>45292</v>
      </c>
      <c r="F255" s="267" t="s">
        <v>421</v>
      </c>
      <c r="G255" s="267" t="s">
        <v>421</v>
      </c>
      <c r="H255" s="267" t="str">
        <f t="shared" si="8"/>
        <v>T</v>
      </c>
      <c r="I255" s="266" t="s">
        <v>43</v>
      </c>
      <c r="J255" s="266" t="s">
        <v>43</v>
      </c>
      <c r="K255" s="266" t="str">
        <f t="shared" si="9"/>
        <v>T</v>
      </c>
    </row>
    <row r="256" spans="2:11" x14ac:dyDescent="0.2">
      <c r="B256" s="257"/>
      <c r="C256" s="270" t="s">
        <v>38</v>
      </c>
      <c r="D256" s="272">
        <v>44864</v>
      </c>
      <c r="E256" s="272">
        <v>45440</v>
      </c>
      <c r="F256" s="267" t="s">
        <v>420</v>
      </c>
      <c r="G256" s="267" t="s">
        <v>421</v>
      </c>
      <c r="H256" s="267" t="str">
        <f t="shared" si="8"/>
        <v>F</v>
      </c>
      <c r="I256" s="266" t="s">
        <v>43</v>
      </c>
      <c r="J256" s="266" t="s">
        <v>43</v>
      </c>
      <c r="K256" s="266" t="str">
        <f t="shared" si="9"/>
        <v>T</v>
      </c>
    </row>
    <row r="257" spans="2:11" x14ac:dyDescent="0.2">
      <c r="B257" s="257"/>
      <c r="C257" s="270" t="s">
        <v>37</v>
      </c>
      <c r="D257" s="272">
        <v>44927</v>
      </c>
      <c r="E257" s="272">
        <v>45399</v>
      </c>
      <c r="F257" s="267" t="s">
        <v>421</v>
      </c>
      <c r="G257" s="267" t="s">
        <v>421</v>
      </c>
      <c r="H257" s="267" t="str">
        <f t="shared" si="8"/>
        <v>T</v>
      </c>
      <c r="I257" s="266" t="s">
        <v>43</v>
      </c>
      <c r="J257" s="266" t="s">
        <v>43</v>
      </c>
      <c r="K257" s="266" t="str">
        <f t="shared" si="9"/>
        <v>T</v>
      </c>
    </row>
    <row r="258" spans="2:11" x14ac:dyDescent="0.2">
      <c r="B258" s="257"/>
      <c r="C258" s="270" t="s">
        <v>33</v>
      </c>
      <c r="D258" s="272">
        <v>45187</v>
      </c>
      <c r="E258" s="272">
        <v>45529</v>
      </c>
      <c r="F258" s="267" t="s">
        <v>421</v>
      </c>
      <c r="G258" s="267" t="s">
        <v>421</v>
      </c>
      <c r="H258" s="267" t="str">
        <f t="shared" si="8"/>
        <v>T</v>
      </c>
      <c r="I258" s="266" t="s">
        <v>43</v>
      </c>
      <c r="J258" s="266" t="s">
        <v>43</v>
      </c>
      <c r="K258" s="266" t="str">
        <f t="shared" si="9"/>
        <v>T</v>
      </c>
    </row>
    <row r="259" spans="2:11" x14ac:dyDescent="0.2">
      <c r="B259" s="257"/>
      <c r="C259" s="270" t="s">
        <v>32</v>
      </c>
      <c r="D259" s="272">
        <v>45190</v>
      </c>
      <c r="E259" s="272">
        <v>45528</v>
      </c>
      <c r="F259" s="267" t="s">
        <v>421</v>
      </c>
      <c r="G259" s="267" t="s">
        <v>421</v>
      </c>
      <c r="H259" s="267" t="str">
        <f t="shared" si="8"/>
        <v>T</v>
      </c>
      <c r="I259" s="266" t="s">
        <v>43</v>
      </c>
      <c r="J259" s="266" t="s">
        <v>43</v>
      </c>
      <c r="K259" s="266" t="str">
        <f t="shared" si="9"/>
        <v>T</v>
      </c>
    </row>
    <row r="260" spans="2:11" x14ac:dyDescent="0.2">
      <c r="B260" s="252"/>
      <c r="C260" s="273" t="s">
        <v>174</v>
      </c>
      <c r="D260" s="274">
        <v>43892</v>
      </c>
      <c r="E260" s="274">
        <v>45483</v>
      </c>
      <c r="F260" s="275" t="s">
        <v>57</v>
      </c>
      <c r="G260" s="275" t="s">
        <v>57</v>
      </c>
      <c r="H260" s="275" t="s">
        <v>57</v>
      </c>
      <c r="I260" s="275" t="s">
        <v>57</v>
      </c>
      <c r="J260" s="275" t="s">
        <v>57</v>
      </c>
      <c r="K260" s="275" t="s">
        <v>57</v>
      </c>
    </row>
    <row r="261" spans="2:11" x14ac:dyDescent="0.2">
      <c r="B261" s="276" t="s">
        <v>48</v>
      </c>
      <c r="C261" s="270" t="s">
        <v>151</v>
      </c>
      <c r="D261" s="272">
        <v>44249</v>
      </c>
      <c r="E261" s="272">
        <v>44460</v>
      </c>
      <c r="F261" s="267" t="s">
        <v>421</v>
      </c>
      <c r="G261" s="267" t="s">
        <v>421</v>
      </c>
      <c r="H261" s="267" t="str">
        <f t="shared" ref="H261:H271" si="10">IF(F261=G261,"T","F")</f>
        <v>T</v>
      </c>
      <c r="I261" s="266" t="s">
        <v>43</v>
      </c>
      <c r="J261" s="266" t="s">
        <v>43</v>
      </c>
      <c r="K261" s="266" t="str">
        <f t="shared" ref="K261:K271" si="11">IF(I261=J261,"T","F")</f>
        <v>T</v>
      </c>
    </row>
    <row r="262" spans="2:11" x14ac:dyDescent="0.2">
      <c r="B262" s="257"/>
      <c r="C262" s="270" t="s">
        <v>9</v>
      </c>
      <c r="D262" s="272">
        <v>44308</v>
      </c>
      <c r="E262" s="272">
        <v>45118</v>
      </c>
      <c r="F262" s="267" t="s">
        <v>420</v>
      </c>
      <c r="G262" s="267" t="s">
        <v>421</v>
      </c>
      <c r="H262" s="267" t="str">
        <f t="shared" si="10"/>
        <v>F</v>
      </c>
      <c r="I262" s="266" t="s">
        <v>43</v>
      </c>
      <c r="J262" s="266" t="s">
        <v>43</v>
      </c>
      <c r="K262" s="266" t="str">
        <f t="shared" si="11"/>
        <v>T</v>
      </c>
    </row>
    <row r="263" spans="2:11" x14ac:dyDescent="0.2">
      <c r="B263" s="257"/>
      <c r="C263" s="270" t="s">
        <v>49</v>
      </c>
      <c r="D263" s="272">
        <v>44331</v>
      </c>
      <c r="E263" s="272">
        <v>44602</v>
      </c>
      <c r="F263" s="267" t="s">
        <v>420</v>
      </c>
      <c r="G263" s="267" t="s">
        <v>421</v>
      </c>
      <c r="H263" s="267" t="str">
        <f t="shared" si="10"/>
        <v>F</v>
      </c>
      <c r="I263" s="266" t="s">
        <v>43</v>
      </c>
      <c r="J263" s="266" t="s">
        <v>43</v>
      </c>
      <c r="K263" s="266" t="str">
        <f t="shared" si="11"/>
        <v>T</v>
      </c>
    </row>
    <row r="264" spans="2:11" x14ac:dyDescent="0.2">
      <c r="B264" s="257"/>
      <c r="C264" s="270" t="s">
        <v>152</v>
      </c>
      <c r="D264" s="272">
        <v>44416</v>
      </c>
      <c r="E264" s="272">
        <v>44624</v>
      </c>
      <c r="F264" s="267" t="s">
        <v>420</v>
      </c>
      <c r="G264" s="267" t="s">
        <v>421</v>
      </c>
      <c r="H264" s="267" t="str">
        <f t="shared" si="10"/>
        <v>F</v>
      </c>
      <c r="I264" s="266" t="s">
        <v>43</v>
      </c>
      <c r="J264" s="266" t="s">
        <v>43</v>
      </c>
      <c r="K264" s="266" t="str">
        <f t="shared" si="11"/>
        <v>T</v>
      </c>
    </row>
    <row r="265" spans="2:11" x14ac:dyDescent="0.2">
      <c r="B265" s="257"/>
      <c r="C265" s="270" t="s">
        <v>22</v>
      </c>
      <c r="D265" s="272">
        <v>44559</v>
      </c>
      <c r="E265" s="272">
        <v>45000</v>
      </c>
      <c r="F265" s="267" t="s">
        <v>421</v>
      </c>
      <c r="G265" s="267" t="s">
        <v>421</v>
      </c>
      <c r="H265" s="267" t="str">
        <f t="shared" si="10"/>
        <v>T</v>
      </c>
      <c r="I265" s="266" t="s">
        <v>43</v>
      </c>
      <c r="J265" s="266" t="s">
        <v>43</v>
      </c>
      <c r="K265" s="266" t="str">
        <f t="shared" si="11"/>
        <v>T</v>
      </c>
    </row>
    <row r="266" spans="2:11" x14ac:dyDescent="0.2">
      <c r="B266" s="257"/>
      <c r="C266" s="270" t="s">
        <v>26</v>
      </c>
      <c r="D266" s="272">
        <v>44691</v>
      </c>
      <c r="E266" s="272">
        <v>45031</v>
      </c>
      <c r="F266" s="267" t="s">
        <v>420</v>
      </c>
      <c r="G266" s="267" t="s">
        <v>421</v>
      </c>
      <c r="H266" s="267" t="str">
        <f t="shared" si="10"/>
        <v>F</v>
      </c>
      <c r="I266" s="266" t="s">
        <v>45</v>
      </c>
      <c r="J266" s="266" t="s">
        <v>43</v>
      </c>
      <c r="K266" s="266" t="str">
        <f t="shared" si="11"/>
        <v>F</v>
      </c>
    </row>
    <row r="267" spans="2:11" x14ac:dyDescent="0.2">
      <c r="B267" s="257"/>
      <c r="C267" s="270" t="s">
        <v>25</v>
      </c>
      <c r="D267" s="272">
        <v>44692</v>
      </c>
      <c r="E267" s="272">
        <v>45313</v>
      </c>
      <c r="F267" s="267" t="s">
        <v>421</v>
      </c>
      <c r="G267" s="267" t="s">
        <v>421</v>
      </c>
      <c r="H267" s="267" t="str">
        <f t="shared" si="10"/>
        <v>T</v>
      </c>
      <c r="I267" s="266" t="s">
        <v>43</v>
      </c>
      <c r="J267" s="266" t="s">
        <v>43</v>
      </c>
      <c r="K267" s="266" t="str">
        <f t="shared" si="11"/>
        <v>T</v>
      </c>
    </row>
    <row r="268" spans="2:11" x14ac:dyDescent="0.2">
      <c r="B268" s="257"/>
      <c r="C268" s="270" t="s">
        <v>38</v>
      </c>
      <c r="D268" s="272">
        <v>44888</v>
      </c>
      <c r="E268" s="272">
        <v>45271</v>
      </c>
      <c r="F268" s="267" t="s">
        <v>420</v>
      </c>
      <c r="G268" s="267" t="s">
        <v>421</v>
      </c>
      <c r="H268" s="267" t="str">
        <f t="shared" si="10"/>
        <v>F</v>
      </c>
      <c r="I268" s="266" t="s">
        <v>43</v>
      </c>
      <c r="J268" s="266" t="s">
        <v>43</v>
      </c>
      <c r="K268" s="266" t="str">
        <f t="shared" si="11"/>
        <v>T</v>
      </c>
    </row>
    <row r="269" spans="2:11" x14ac:dyDescent="0.2">
      <c r="B269" s="257"/>
      <c r="C269" s="270" t="s">
        <v>367</v>
      </c>
      <c r="D269" s="272">
        <v>45062</v>
      </c>
      <c r="E269" s="272">
        <v>45378</v>
      </c>
      <c r="F269" s="267" t="s">
        <v>420</v>
      </c>
      <c r="G269" s="267" t="s">
        <v>421</v>
      </c>
      <c r="H269" s="267" t="str">
        <f t="shared" si="10"/>
        <v>F</v>
      </c>
      <c r="I269" s="266" t="s">
        <v>43</v>
      </c>
      <c r="J269" s="266" t="s">
        <v>43</v>
      </c>
      <c r="K269" s="266" t="str">
        <f t="shared" si="11"/>
        <v>T</v>
      </c>
    </row>
    <row r="270" spans="2:11" x14ac:dyDescent="0.2">
      <c r="B270" s="257"/>
      <c r="C270" s="270" t="s">
        <v>30</v>
      </c>
      <c r="D270" s="272">
        <v>45111</v>
      </c>
      <c r="E270" s="272">
        <v>45397</v>
      </c>
      <c r="F270" s="267" t="s">
        <v>421</v>
      </c>
      <c r="G270" s="267" t="s">
        <v>421</v>
      </c>
      <c r="H270" s="267" t="str">
        <f t="shared" si="10"/>
        <v>T</v>
      </c>
      <c r="I270" s="266" t="s">
        <v>43</v>
      </c>
      <c r="J270" s="266" t="s">
        <v>43</v>
      </c>
      <c r="K270" s="266" t="str">
        <f t="shared" si="11"/>
        <v>T</v>
      </c>
    </row>
    <row r="271" spans="2:11" x14ac:dyDescent="0.2">
      <c r="B271" s="257"/>
      <c r="C271" s="270" t="s">
        <v>32</v>
      </c>
      <c r="D271" s="272">
        <v>45223</v>
      </c>
      <c r="E271" s="272">
        <v>45410</v>
      </c>
      <c r="F271" s="267" t="s">
        <v>420</v>
      </c>
      <c r="G271" s="267" t="s">
        <v>421</v>
      </c>
      <c r="H271" s="267" t="str">
        <f t="shared" si="10"/>
        <v>F</v>
      </c>
      <c r="I271" s="266" t="s">
        <v>45</v>
      </c>
      <c r="J271" s="266" t="s">
        <v>43</v>
      </c>
      <c r="K271" s="266" t="str">
        <f t="shared" si="11"/>
        <v>F</v>
      </c>
    </row>
    <row r="272" spans="2:11" x14ac:dyDescent="0.2">
      <c r="B272" s="252"/>
      <c r="C272" s="273" t="s">
        <v>423</v>
      </c>
      <c r="D272" s="274">
        <v>44235</v>
      </c>
      <c r="E272" s="274">
        <v>45342</v>
      </c>
      <c r="F272" s="275" t="s">
        <v>57</v>
      </c>
      <c r="G272" s="275" t="s">
        <v>57</v>
      </c>
      <c r="H272" s="275" t="s">
        <v>57</v>
      </c>
      <c r="I272" s="275" t="s">
        <v>57</v>
      </c>
      <c r="J272" s="275" t="s">
        <v>57</v>
      </c>
      <c r="K272" s="275" t="s">
        <v>57</v>
      </c>
    </row>
  </sheetData>
  <mergeCells count="18">
    <mergeCell ref="B261:B272"/>
    <mergeCell ref="B63:B85"/>
    <mergeCell ref="B86:B100"/>
    <mergeCell ref="B101:B112"/>
    <mergeCell ref="B113:B125"/>
    <mergeCell ref="B126:B141"/>
    <mergeCell ref="B142:B156"/>
    <mergeCell ref="B184:B194"/>
    <mergeCell ref="B195:B199"/>
    <mergeCell ref="B238:B249"/>
    <mergeCell ref="B250:B260"/>
    <mergeCell ref="B157:B168"/>
    <mergeCell ref="B169:B183"/>
    <mergeCell ref="B3:B14"/>
    <mergeCell ref="B15:B25"/>
    <mergeCell ref="B26:B40"/>
    <mergeCell ref="B41:B55"/>
    <mergeCell ref="B56:B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C083-85CB-0F49-B424-075D58255A89}">
  <dimension ref="A1:W423"/>
  <sheetViews>
    <sheetView zoomScaleNormal="100" workbookViewId="0">
      <selection activeCell="C14" sqref="C14:K14"/>
    </sheetView>
  </sheetViews>
  <sheetFormatPr baseColWidth="10" defaultRowHeight="16" x14ac:dyDescent="0.2"/>
  <cols>
    <col min="1" max="1" width="10.83203125" style="4"/>
    <col min="2" max="2" width="13.83203125" style="65" bestFit="1" customWidth="1"/>
    <col min="3" max="3" width="17.33203125" style="19" bestFit="1" customWidth="1"/>
    <col min="4" max="5" width="13" style="209" bestFit="1" customWidth="1"/>
    <col min="6" max="6" width="11.83203125" style="210" bestFit="1" customWidth="1"/>
    <col min="7" max="7" width="13" style="210" bestFit="1" customWidth="1"/>
    <col min="8" max="8" width="11.5" style="210" bestFit="1" customWidth="1"/>
    <col min="9" max="9" width="12.83203125" style="65" bestFit="1" customWidth="1"/>
    <col min="10" max="10" width="12.5" style="65" bestFit="1" customWidth="1"/>
    <col min="11" max="11" width="9" style="65" bestFit="1" customWidth="1"/>
    <col min="12" max="13" width="10.83203125" style="4"/>
  </cols>
  <sheetData>
    <row r="1" spans="1:23" ht="17" thickBot="1" x14ac:dyDescent="0.25">
      <c r="A1" s="6"/>
      <c r="B1" s="39"/>
      <c r="C1" s="32"/>
      <c r="D1" s="200"/>
      <c r="E1" s="200"/>
      <c r="F1" s="204"/>
      <c r="G1" s="204"/>
      <c r="H1" s="204"/>
      <c r="I1" s="39"/>
      <c r="J1" s="39"/>
      <c r="K1" s="91"/>
    </row>
    <row r="2" spans="1:23" x14ac:dyDescent="0.2">
      <c r="A2" s="6"/>
      <c r="B2" s="194" t="s">
        <v>39</v>
      </c>
      <c r="C2" s="150" t="s">
        <v>40</v>
      </c>
      <c r="D2" s="201" t="s">
        <v>46</v>
      </c>
      <c r="E2" s="201" t="s">
        <v>56</v>
      </c>
      <c r="F2" s="195" t="s">
        <v>54</v>
      </c>
      <c r="G2" s="195" t="s">
        <v>53</v>
      </c>
      <c r="H2" s="195" t="s">
        <v>153</v>
      </c>
      <c r="I2" s="196" t="s">
        <v>51</v>
      </c>
      <c r="J2" s="196" t="s">
        <v>52</v>
      </c>
      <c r="K2" s="196" t="s">
        <v>50</v>
      </c>
    </row>
    <row r="3" spans="1:23" x14ac:dyDescent="0.2">
      <c r="A3" s="15"/>
      <c r="B3" s="219" t="s">
        <v>8</v>
      </c>
      <c r="C3" s="19" t="s">
        <v>16</v>
      </c>
      <c r="D3" s="199">
        <v>43899</v>
      </c>
      <c r="E3" s="199">
        <v>45124</v>
      </c>
      <c r="F3" s="71">
        <v>0.17358319999999999</v>
      </c>
      <c r="G3" s="71">
        <v>0.51565749999999999</v>
      </c>
      <c r="H3" s="205">
        <f>G3-F3</f>
        <v>0.3420743</v>
      </c>
      <c r="I3" s="70" t="s">
        <v>45</v>
      </c>
      <c r="J3" s="70" t="s">
        <v>43</v>
      </c>
      <c r="K3" s="80" t="s">
        <v>163</v>
      </c>
      <c r="N3" s="1">
        <v>1</v>
      </c>
      <c r="O3" s="2" t="s">
        <v>8</v>
      </c>
      <c r="P3" s="2" t="s">
        <v>16</v>
      </c>
      <c r="Q3" s="14">
        <v>43899</v>
      </c>
      <c r="R3" s="14">
        <v>45124</v>
      </c>
      <c r="S3" s="2">
        <v>0.17358319999999999</v>
      </c>
      <c r="T3" s="2">
        <v>0.51565749999999999</v>
      </c>
      <c r="U3" s="2" t="s">
        <v>45</v>
      </c>
      <c r="V3" s="2" t="s">
        <v>43</v>
      </c>
    </row>
    <row r="4" spans="1:23" x14ac:dyDescent="0.2">
      <c r="A4" s="15"/>
      <c r="B4" s="219"/>
      <c r="C4" s="19" t="s">
        <v>36</v>
      </c>
      <c r="D4" s="199">
        <v>43902</v>
      </c>
      <c r="E4" s="199">
        <v>45355</v>
      </c>
      <c r="F4" s="71">
        <v>0.21386920000000001</v>
      </c>
      <c r="G4" s="71">
        <v>0.64569730000000003</v>
      </c>
      <c r="H4" s="205">
        <f t="shared" ref="H4:H40" si="0">G4-F4</f>
        <v>0.43182810000000005</v>
      </c>
      <c r="I4" s="70" t="s">
        <v>45</v>
      </c>
      <c r="J4" s="70" t="s">
        <v>43</v>
      </c>
      <c r="K4" s="80" t="s">
        <v>163</v>
      </c>
      <c r="N4" s="1">
        <v>2</v>
      </c>
      <c r="O4" s="2" t="s">
        <v>8</v>
      </c>
      <c r="P4" s="2" t="s">
        <v>36</v>
      </c>
      <c r="Q4" s="14">
        <v>43902</v>
      </c>
      <c r="R4" s="14">
        <v>45355</v>
      </c>
      <c r="S4" s="2">
        <v>0.21386920000000001</v>
      </c>
      <c r="T4" s="2">
        <v>0.64569730000000003</v>
      </c>
      <c r="U4" s="2" t="s">
        <v>45</v>
      </c>
      <c r="V4" s="2" t="s">
        <v>43</v>
      </c>
    </row>
    <row r="5" spans="1:23" x14ac:dyDescent="0.2">
      <c r="A5" s="15"/>
      <c r="B5" s="219"/>
      <c r="C5" s="19" t="s">
        <v>20</v>
      </c>
      <c r="D5" s="199">
        <v>43924</v>
      </c>
      <c r="E5" s="199">
        <v>45526</v>
      </c>
      <c r="F5" s="71">
        <v>0.41927239999999999</v>
      </c>
      <c r="G5" s="71">
        <v>0.55112910000000004</v>
      </c>
      <c r="H5" s="205">
        <f t="shared" si="0"/>
        <v>0.13185670000000005</v>
      </c>
      <c r="I5" s="70" t="s">
        <v>43</v>
      </c>
      <c r="J5" s="70" t="s">
        <v>43</v>
      </c>
      <c r="K5" s="80" t="s">
        <v>150</v>
      </c>
      <c r="N5" s="1">
        <v>3</v>
      </c>
      <c r="O5" s="2" t="s">
        <v>8</v>
      </c>
      <c r="P5" s="2" t="s">
        <v>20</v>
      </c>
      <c r="Q5" s="14">
        <v>43924</v>
      </c>
      <c r="R5" s="14">
        <v>45526</v>
      </c>
      <c r="S5" s="2">
        <v>0.41927239999999999</v>
      </c>
      <c r="T5" s="2">
        <v>0.55112910000000004</v>
      </c>
      <c r="U5" s="2" t="s">
        <v>43</v>
      </c>
      <c r="V5" s="2" t="s">
        <v>43</v>
      </c>
    </row>
    <row r="6" spans="1:23" x14ac:dyDescent="0.2">
      <c r="A6" s="15"/>
      <c r="B6" s="219"/>
      <c r="C6" s="19" t="s">
        <v>38</v>
      </c>
      <c r="D6" s="199">
        <v>43925</v>
      </c>
      <c r="E6" s="199">
        <v>45489</v>
      </c>
      <c r="F6" s="71">
        <v>0.4085493</v>
      </c>
      <c r="G6" s="71">
        <v>0.81637230000000005</v>
      </c>
      <c r="H6" s="205">
        <f t="shared" si="0"/>
        <v>0.40782300000000005</v>
      </c>
      <c r="I6" s="70" t="s">
        <v>43</v>
      </c>
      <c r="J6" s="70" t="s">
        <v>43</v>
      </c>
      <c r="K6" s="80" t="s">
        <v>150</v>
      </c>
      <c r="N6" s="1">
        <v>4</v>
      </c>
      <c r="O6" s="2" t="s">
        <v>8</v>
      </c>
      <c r="P6" s="2" t="s">
        <v>38</v>
      </c>
      <c r="Q6" s="14">
        <v>43925</v>
      </c>
      <c r="R6" s="14">
        <v>45489</v>
      </c>
      <c r="S6" s="2">
        <v>0.4085493</v>
      </c>
      <c r="T6" s="2">
        <v>0.81637230000000005</v>
      </c>
      <c r="U6" s="2" t="s">
        <v>43</v>
      </c>
      <c r="V6" s="2" t="s">
        <v>43</v>
      </c>
    </row>
    <row r="7" spans="1:23" x14ac:dyDescent="0.2">
      <c r="A7" s="15"/>
      <c r="B7" s="219"/>
      <c r="C7" s="19" t="s">
        <v>365</v>
      </c>
      <c r="D7" s="199">
        <v>43965</v>
      </c>
      <c r="E7" s="199">
        <v>44958</v>
      </c>
      <c r="F7" s="71">
        <v>0.2276232</v>
      </c>
      <c r="G7" s="71">
        <v>0.25945800000000002</v>
      </c>
      <c r="H7" s="205">
        <f t="shared" si="0"/>
        <v>3.1834800000000024E-2</v>
      </c>
      <c r="I7" s="70" t="s">
        <v>43</v>
      </c>
      <c r="J7" s="70" t="s">
        <v>43</v>
      </c>
      <c r="K7" s="80" t="s">
        <v>150</v>
      </c>
      <c r="N7" s="1">
        <v>5</v>
      </c>
      <c r="O7" s="2" t="s">
        <v>8</v>
      </c>
      <c r="P7" s="2" t="s">
        <v>365</v>
      </c>
      <c r="Q7" s="14">
        <v>43965</v>
      </c>
      <c r="R7" s="14">
        <v>44958</v>
      </c>
      <c r="S7" s="2">
        <v>0.2276232</v>
      </c>
      <c r="T7" s="2">
        <v>0.25945800000000002</v>
      </c>
      <c r="U7" s="2" t="s">
        <v>43</v>
      </c>
      <c r="V7" s="2" t="s">
        <v>43</v>
      </c>
    </row>
    <row r="8" spans="1:23" x14ac:dyDescent="0.2">
      <c r="A8" s="15"/>
      <c r="B8" s="219"/>
      <c r="C8" s="19" t="s">
        <v>27</v>
      </c>
      <c r="D8" s="199">
        <v>44061</v>
      </c>
      <c r="E8" s="199">
        <v>45532</v>
      </c>
      <c r="F8" s="71">
        <v>0.50505520000000004</v>
      </c>
      <c r="G8" s="71">
        <v>0.616031</v>
      </c>
      <c r="H8" s="205">
        <f t="shared" si="0"/>
        <v>0.11097579999999996</v>
      </c>
      <c r="I8" s="70" t="s">
        <v>43</v>
      </c>
      <c r="J8" s="70" t="s">
        <v>43</v>
      </c>
      <c r="K8" s="80" t="s">
        <v>150</v>
      </c>
      <c r="N8" s="1">
        <v>6</v>
      </c>
      <c r="O8" s="2" t="s">
        <v>8</v>
      </c>
      <c r="P8" s="2" t="s">
        <v>27</v>
      </c>
      <c r="Q8" s="14">
        <v>44061</v>
      </c>
      <c r="R8" s="14">
        <v>45532</v>
      </c>
      <c r="S8" s="2">
        <v>0.50505520000000004</v>
      </c>
      <c r="T8" s="2">
        <v>0.616031</v>
      </c>
      <c r="U8" s="2" t="s">
        <v>43</v>
      </c>
      <c r="V8" s="2" t="s">
        <v>43</v>
      </c>
    </row>
    <row r="9" spans="1:23" x14ac:dyDescent="0.2">
      <c r="A9" s="15"/>
      <c r="B9" s="219"/>
      <c r="C9" s="19" t="s">
        <v>26</v>
      </c>
      <c r="D9" s="199">
        <v>44505</v>
      </c>
      <c r="E9" s="199">
        <v>45393</v>
      </c>
      <c r="F9" s="71">
        <v>0.33199089999999998</v>
      </c>
      <c r="G9" s="71">
        <v>0.22722980000000001</v>
      </c>
      <c r="H9" s="205">
        <f t="shared" si="0"/>
        <v>-0.10476109999999997</v>
      </c>
      <c r="I9" s="70" t="s">
        <v>43</v>
      </c>
      <c r="J9" s="70" t="s">
        <v>43</v>
      </c>
      <c r="K9" s="80" t="s">
        <v>150</v>
      </c>
      <c r="N9" s="1">
        <v>7</v>
      </c>
      <c r="O9" s="2" t="s">
        <v>8</v>
      </c>
      <c r="P9" s="2" t="s">
        <v>26</v>
      </c>
      <c r="Q9" s="14">
        <v>44505</v>
      </c>
      <c r="R9" s="14">
        <v>45393</v>
      </c>
      <c r="S9" s="2">
        <v>0.33199089999999998</v>
      </c>
      <c r="T9" s="2">
        <v>0.22722980000000001</v>
      </c>
      <c r="U9" s="2" t="s">
        <v>43</v>
      </c>
      <c r="V9" s="2" t="s">
        <v>43</v>
      </c>
    </row>
    <row r="10" spans="1:23" x14ac:dyDescent="0.2">
      <c r="A10" s="15"/>
      <c r="B10" s="219"/>
      <c r="C10" s="19" t="s">
        <v>28</v>
      </c>
      <c r="D10" s="199">
        <v>44530</v>
      </c>
      <c r="E10" s="199">
        <v>45378</v>
      </c>
      <c r="F10" s="71">
        <v>0.38549040000000001</v>
      </c>
      <c r="G10" s="71">
        <v>0.41923880000000002</v>
      </c>
      <c r="H10" s="205">
        <f t="shared" si="0"/>
        <v>3.3748400000000012E-2</v>
      </c>
      <c r="I10" s="70" t="s">
        <v>43</v>
      </c>
      <c r="J10" s="70" t="s">
        <v>43</v>
      </c>
      <c r="K10" s="80" t="s">
        <v>150</v>
      </c>
      <c r="N10" s="1">
        <v>8</v>
      </c>
      <c r="O10" s="2" t="s">
        <v>8</v>
      </c>
      <c r="P10" s="2" t="s">
        <v>28</v>
      </c>
      <c r="Q10" s="14">
        <v>44530</v>
      </c>
      <c r="R10" s="14">
        <v>45378</v>
      </c>
      <c r="S10" s="2">
        <v>0.38549040000000001</v>
      </c>
      <c r="T10" s="2">
        <v>0.41923880000000002</v>
      </c>
      <c r="U10" s="2" t="s">
        <v>43</v>
      </c>
      <c r="V10" s="2" t="s">
        <v>43</v>
      </c>
    </row>
    <row r="11" spans="1:23" x14ac:dyDescent="0.2">
      <c r="A11" s="15"/>
      <c r="B11" s="219"/>
      <c r="C11" s="19" t="s">
        <v>31</v>
      </c>
      <c r="D11" s="199">
        <v>44935</v>
      </c>
      <c r="E11" s="199">
        <v>45520</v>
      </c>
      <c r="F11" s="71">
        <v>0.18300569999999999</v>
      </c>
      <c r="G11" s="71">
        <v>0.30143399999999998</v>
      </c>
      <c r="H11" s="205">
        <f t="shared" si="0"/>
        <v>0.11842829999999999</v>
      </c>
      <c r="I11" s="70" t="s">
        <v>43</v>
      </c>
      <c r="J11" s="70" t="s">
        <v>43</v>
      </c>
      <c r="K11" s="80" t="s">
        <v>150</v>
      </c>
      <c r="N11" s="1">
        <v>9</v>
      </c>
      <c r="O11" s="2" t="s">
        <v>8</v>
      </c>
      <c r="P11" s="2" t="s">
        <v>31</v>
      </c>
      <c r="Q11" s="14">
        <v>44935</v>
      </c>
      <c r="R11" s="14">
        <v>45520</v>
      </c>
      <c r="S11" s="2">
        <v>0.18300569999999999</v>
      </c>
      <c r="T11" s="2">
        <v>0.30143399999999998</v>
      </c>
      <c r="U11" s="2" t="s">
        <v>43</v>
      </c>
      <c r="V11" s="2" t="s">
        <v>43</v>
      </c>
    </row>
    <row r="12" spans="1:23" x14ac:dyDescent="0.2">
      <c r="A12" s="15"/>
      <c r="B12" s="219"/>
      <c r="C12" s="19" t="s">
        <v>32</v>
      </c>
      <c r="D12" s="199">
        <v>44935</v>
      </c>
      <c r="E12" s="199">
        <v>45535</v>
      </c>
      <c r="F12" s="71">
        <v>0.34868250000000001</v>
      </c>
      <c r="G12" s="71">
        <v>0.53541369999999999</v>
      </c>
      <c r="H12" s="205">
        <f t="shared" si="0"/>
        <v>0.18673119999999999</v>
      </c>
      <c r="I12" s="70" t="s">
        <v>43</v>
      </c>
      <c r="J12" s="70" t="s">
        <v>43</v>
      </c>
      <c r="K12" s="80" t="s">
        <v>150</v>
      </c>
      <c r="N12" s="1">
        <v>10</v>
      </c>
      <c r="O12" s="2" t="s">
        <v>8</v>
      </c>
      <c r="P12" s="2" t="s">
        <v>32</v>
      </c>
      <c r="Q12" s="14">
        <v>44935</v>
      </c>
      <c r="R12" s="14">
        <v>45535</v>
      </c>
      <c r="S12" s="2">
        <v>0.34868250000000001</v>
      </c>
      <c r="T12" s="2">
        <v>0.53541369999999999</v>
      </c>
      <c r="U12" s="2" t="s">
        <v>43</v>
      </c>
      <c r="V12" s="2" t="s">
        <v>43</v>
      </c>
    </row>
    <row r="13" spans="1:23" x14ac:dyDescent="0.2">
      <c r="A13" s="6"/>
      <c r="B13" s="219"/>
      <c r="C13" s="19" t="s">
        <v>33</v>
      </c>
      <c r="D13" s="198">
        <v>45182</v>
      </c>
      <c r="E13" s="198">
        <v>45533</v>
      </c>
      <c r="F13" s="71">
        <v>0.28012219999999999</v>
      </c>
      <c r="G13" s="71">
        <v>0.31439709999999998</v>
      </c>
      <c r="H13" s="205">
        <f t="shared" si="0"/>
        <v>3.4274899999999997E-2</v>
      </c>
      <c r="I13" s="49" t="s">
        <v>43</v>
      </c>
      <c r="J13" s="49" t="s">
        <v>43</v>
      </c>
      <c r="K13" s="80" t="s">
        <v>150</v>
      </c>
      <c r="N13" s="1">
        <v>11</v>
      </c>
      <c r="O13" s="2" t="s">
        <v>8</v>
      </c>
      <c r="P13" s="2" t="s">
        <v>33</v>
      </c>
      <c r="Q13" s="14">
        <v>45182</v>
      </c>
      <c r="R13" s="14">
        <v>45533</v>
      </c>
      <c r="S13" s="2">
        <v>0.28012219999999999</v>
      </c>
      <c r="T13" s="2">
        <v>0.31439709999999998</v>
      </c>
      <c r="U13" s="2" t="s">
        <v>43</v>
      </c>
      <c r="V13" s="2" t="s">
        <v>43</v>
      </c>
    </row>
    <row r="14" spans="1:23" x14ac:dyDescent="0.2">
      <c r="A14" s="6"/>
      <c r="B14" s="221"/>
      <c r="C14" s="115" t="s">
        <v>405</v>
      </c>
      <c r="D14" s="202">
        <v>43892</v>
      </c>
      <c r="E14" s="202">
        <v>45520</v>
      </c>
      <c r="F14" s="117" t="s">
        <v>57</v>
      </c>
      <c r="G14" s="117" t="s">
        <v>57</v>
      </c>
      <c r="H14" s="117" t="s">
        <v>57</v>
      </c>
      <c r="I14" s="214" t="s">
        <v>57</v>
      </c>
      <c r="J14" s="214" t="s">
        <v>57</v>
      </c>
      <c r="K14" s="214" t="s">
        <v>57</v>
      </c>
      <c r="N14" s="1"/>
      <c r="O14" s="2"/>
      <c r="P14" s="2"/>
      <c r="Q14" s="14"/>
      <c r="R14" s="14"/>
      <c r="S14" s="2"/>
      <c r="T14" s="2"/>
      <c r="U14" s="2"/>
      <c r="V14" s="2"/>
    </row>
    <row r="15" spans="1:23" x14ac:dyDescent="0.2">
      <c r="A15" s="6"/>
      <c r="B15" s="222" t="s">
        <v>47</v>
      </c>
      <c r="C15" s="121" t="s">
        <v>15</v>
      </c>
      <c r="D15" s="197">
        <v>43892</v>
      </c>
      <c r="E15" s="197">
        <v>44735</v>
      </c>
      <c r="F15" s="206">
        <v>0.160186</v>
      </c>
      <c r="G15" s="206">
        <v>0.4129543</v>
      </c>
      <c r="H15" s="207">
        <f t="shared" si="0"/>
        <v>0.2527683</v>
      </c>
      <c r="I15" s="124" t="s">
        <v>45</v>
      </c>
      <c r="J15" s="124" t="s">
        <v>43</v>
      </c>
      <c r="K15" s="125" t="s">
        <v>163</v>
      </c>
      <c r="N15" s="1">
        <v>12</v>
      </c>
      <c r="O15" s="2" t="s">
        <v>47</v>
      </c>
      <c r="P15" s="2" t="s">
        <v>15</v>
      </c>
      <c r="Q15" s="14">
        <v>43892</v>
      </c>
      <c r="R15" s="14">
        <v>44735</v>
      </c>
      <c r="S15" s="2">
        <v>0.160186</v>
      </c>
      <c r="T15" s="2">
        <v>0.4129543</v>
      </c>
      <c r="U15" s="2" t="s">
        <v>45</v>
      </c>
      <c r="V15" s="2" t="s">
        <v>43</v>
      </c>
    </row>
    <row r="16" spans="1:23" x14ac:dyDescent="0.2">
      <c r="A16" s="6"/>
      <c r="B16" s="223"/>
      <c r="C16" s="19" t="s">
        <v>36</v>
      </c>
      <c r="D16" s="198">
        <v>43893</v>
      </c>
      <c r="E16" s="198">
        <v>44623</v>
      </c>
      <c r="F16" s="71">
        <v>0.50989989999999996</v>
      </c>
      <c r="G16" s="71">
        <v>0.98465369999999997</v>
      </c>
      <c r="H16" s="205">
        <f t="shared" si="0"/>
        <v>0.4747538</v>
      </c>
      <c r="I16" s="49" t="s">
        <v>43</v>
      </c>
      <c r="J16" s="49" t="s">
        <v>43</v>
      </c>
      <c r="K16" s="88" t="s">
        <v>150</v>
      </c>
      <c r="N16" s="1">
        <v>13</v>
      </c>
      <c r="O16" s="2" t="s">
        <v>47</v>
      </c>
      <c r="P16" s="2" t="s">
        <v>36</v>
      </c>
      <c r="Q16" s="14">
        <v>43893</v>
      </c>
      <c r="R16" s="14">
        <v>44623</v>
      </c>
      <c r="S16" s="2">
        <v>0.50989989999999996</v>
      </c>
      <c r="T16" s="2">
        <v>0.98465369999999997</v>
      </c>
      <c r="U16" s="2" t="s">
        <v>43</v>
      </c>
      <c r="V16" s="2" t="s">
        <v>43</v>
      </c>
      <c r="W16" s="14"/>
    </row>
    <row r="17" spans="1:23" x14ac:dyDescent="0.2">
      <c r="A17" s="6"/>
      <c r="B17" s="223"/>
      <c r="C17" s="19" t="s">
        <v>366</v>
      </c>
      <c r="D17" s="198">
        <v>44194</v>
      </c>
      <c r="E17" s="198">
        <v>44900</v>
      </c>
      <c r="F17" s="71">
        <v>0.2264302</v>
      </c>
      <c r="G17" s="71">
        <v>0.27678409999999998</v>
      </c>
      <c r="H17" s="205">
        <f t="shared" si="0"/>
        <v>5.0353899999999979E-2</v>
      </c>
      <c r="I17" s="49" t="s">
        <v>45</v>
      </c>
      <c r="J17" s="49" t="s">
        <v>45</v>
      </c>
      <c r="K17" s="88" t="s">
        <v>150</v>
      </c>
      <c r="N17" s="1">
        <v>14</v>
      </c>
      <c r="O17" s="2" t="s">
        <v>47</v>
      </c>
      <c r="P17" s="2" t="s">
        <v>366</v>
      </c>
      <c r="Q17" s="14">
        <v>44194</v>
      </c>
      <c r="R17" s="14">
        <v>44900</v>
      </c>
      <c r="S17" s="2">
        <v>0.2264302</v>
      </c>
      <c r="T17" s="2">
        <v>0.27678409999999998</v>
      </c>
      <c r="U17" s="2" t="s">
        <v>45</v>
      </c>
      <c r="V17" s="2" t="s">
        <v>45</v>
      </c>
      <c r="W17" s="14"/>
    </row>
    <row r="18" spans="1:23" x14ac:dyDescent="0.2">
      <c r="A18" s="6"/>
      <c r="B18" s="223"/>
      <c r="C18" s="19" t="s">
        <v>17</v>
      </c>
      <c r="D18" s="198">
        <v>44197</v>
      </c>
      <c r="E18" s="198">
        <v>45217</v>
      </c>
      <c r="F18" s="71">
        <v>0.23311180000000001</v>
      </c>
      <c r="G18" s="71">
        <v>0.32952140000000002</v>
      </c>
      <c r="H18" s="205">
        <f t="shared" si="0"/>
        <v>9.6409600000000012E-2</v>
      </c>
      <c r="I18" s="49" t="s">
        <v>45</v>
      </c>
      <c r="J18" s="49" t="s">
        <v>45</v>
      </c>
      <c r="K18" s="88" t="s">
        <v>150</v>
      </c>
      <c r="N18" s="1">
        <v>15</v>
      </c>
      <c r="O18" s="2" t="s">
        <v>47</v>
      </c>
      <c r="P18" s="2" t="s">
        <v>17</v>
      </c>
      <c r="Q18" s="14">
        <v>44197</v>
      </c>
      <c r="R18" s="14">
        <v>45217</v>
      </c>
      <c r="S18" s="2">
        <v>0.23311180000000001</v>
      </c>
      <c r="T18" s="2">
        <v>0.32952140000000002</v>
      </c>
      <c r="U18" s="2" t="s">
        <v>45</v>
      </c>
      <c r="V18" s="2" t="s">
        <v>45</v>
      </c>
      <c r="W18" s="14"/>
    </row>
    <row r="19" spans="1:23" x14ac:dyDescent="0.2">
      <c r="A19" s="6"/>
      <c r="B19" s="223"/>
      <c r="C19" s="19" t="s">
        <v>18</v>
      </c>
      <c r="D19" s="198">
        <v>44197</v>
      </c>
      <c r="E19" s="198">
        <v>45204</v>
      </c>
      <c r="F19" s="71">
        <v>0.41552210000000001</v>
      </c>
      <c r="G19" s="71">
        <v>0.42421409999999998</v>
      </c>
      <c r="H19" s="205">
        <f t="shared" si="0"/>
        <v>8.6919999999999775E-3</v>
      </c>
      <c r="I19" s="49" t="s">
        <v>45</v>
      </c>
      <c r="J19" s="49" t="s">
        <v>45</v>
      </c>
      <c r="K19" s="88" t="s">
        <v>150</v>
      </c>
      <c r="N19" s="1">
        <v>16</v>
      </c>
      <c r="O19" s="2" t="s">
        <v>47</v>
      </c>
      <c r="P19" s="2" t="s">
        <v>18</v>
      </c>
      <c r="Q19" s="14">
        <v>44197</v>
      </c>
      <c r="R19" s="14">
        <v>45204</v>
      </c>
      <c r="S19" s="2">
        <v>0.41552210000000001</v>
      </c>
      <c r="T19" s="2">
        <v>0.42421409999999998</v>
      </c>
      <c r="U19" s="2" t="s">
        <v>45</v>
      </c>
      <c r="V19" s="2" t="s">
        <v>45</v>
      </c>
      <c r="W19" s="14"/>
    </row>
    <row r="20" spans="1:23" x14ac:dyDescent="0.2">
      <c r="A20" s="6"/>
      <c r="B20" s="223"/>
      <c r="C20" s="19" t="s">
        <v>20</v>
      </c>
      <c r="D20" s="198">
        <v>44197</v>
      </c>
      <c r="E20" s="198">
        <v>45304</v>
      </c>
      <c r="F20" s="71">
        <v>0.60384409999999999</v>
      </c>
      <c r="G20" s="71">
        <v>0.79332619999999998</v>
      </c>
      <c r="H20" s="205">
        <f t="shared" si="0"/>
        <v>0.18948209999999999</v>
      </c>
      <c r="I20" s="49" t="s">
        <v>43</v>
      </c>
      <c r="J20" s="49" t="s">
        <v>43</v>
      </c>
      <c r="K20" s="88" t="s">
        <v>150</v>
      </c>
      <c r="N20" s="1">
        <v>17</v>
      </c>
      <c r="O20" s="2" t="s">
        <v>47</v>
      </c>
      <c r="P20" s="2" t="s">
        <v>20</v>
      </c>
      <c r="Q20" s="14">
        <v>44197</v>
      </c>
      <c r="R20" s="14">
        <v>45304</v>
      </c>
      <c r="S20" s="2">
        <v>0.60384409999999999</v>
      </c>
      <c r="T20" s="2">
        <v>0.79332619999999998</v>
      </c>
      <c r="U20" s="2" t="s">
        <v>43</v>
      </c>
      <c r="V20" s="2" t="s">
        <v>43</v>
      </c>
      <c r="W20" s="14"/>
    </row>
    <row r="21" spans="1:23" x14ac:dyDescent="0.2">
      <c r="A21" s="6"/>
      <c r="B21" s="223"/>
      <c r="C21" s="19" t="s">
        <v>24</v>
      </c>
      <c r="D21" s="198">
        <v>44573</v>
      </c>
      <c r="E21" s="198">
        <v>45422</v>
      </c>
      <c r="F21" s="71">
        <v>0.27787859999999998</v>
      </c>
      <c r="G21" s="71">
        <v>0.28801080000000001</v>
      </c>
      <c r="H21" s="205">
        <f t="shared" si="0"/>
        <v>1.0132200000000036E-2</v>
      </c>
      <c r="I21" s="49" t="s">
        <v>43</v>
      </c>
      <c r="J21" s="49" t="s">
        <v>43</v>
      </c>
      <c r="K21" s="88" t="s">
        <v>150</v>
      </c>
      <c r="N21" s="1">
        <v>18</v>
      </c>
      <c r="O21" s="2" t="s">
        <v>47</v>
      </c>
      <c r="P21" s="2" t="s">
        <v>24</v>
      </c>
      <c r="Q21" s="14">
        <v>44573</v>
      </c>
      <c r="R21" s="14">
        <v>45422</v>
      </c>
      <c r="S21" s="2">
        <v>0.27787859999999998</v>
      </c>
      <c r="T21" s="2">
        <v>0.28801080000000001</v>
      </c>
      <c r="U21" s="2" t="s">
        <v>43</v>
      </c>
      <c r="V21" s="2" t="s">
        <v>43</v>
      </c>
      <c r="W21" s="14"/>
    </row>
    <row r="22" spans="1:23" x14ac:dyDescent="0.2">
      <c r="A22" s="6"/>
      <c r="B22" s="223"/>
      <c r="C22" s="19" t="s">
        <v>25</v>
      </c>
      <c r="D22" s="199">
        <v>44578</v>
      </c>
      <c r="E22" s="199">
        <v>45334</v>
      </c>
      <c r="F22" s="71">
        <v>0.20859449999999999</v>
      </c>
      <c r="G22" s="71">
        <v>0.25077969999999999</v>
      </c>
      <c r="H22" s="205">
        <f t="shared" si="0"/>
        <v>4.2185200000000006E-2</v>
      </c>
      <c r="I22" s="70" t="s">
        <v>43</v>
      </c>
      <c r="J22" s="70" t="s">
        <v>43</v>
      </c>
      <c r="K22" s="88" t="s">
        <v>150</v>
      </c>
      <c r="N22" s="1">
        <v>19</v>
      </c>
      <c r="O22" s="2" t="s">
        <v>47</v>
      </c>
      <c r="P22" s="2" t="s">
        <v>25</v>
      </c>
      <c r="Q22" s="14">
        <v>44578</v>
      </c>
      <c r="R22" s="14">
        <v>45334</v>
      </c>
      <c r="S22" s="2">
        <v>0.20859449999999999</v>
      </c>
      <c r="T22" s="2">
        <v>0.25077969999999999</v>
      </c>
      <c r="U22" s="2" t="s">
        <v>43</v>
      </c>
      <c r="V22" s="2" t="s">
        <v>43</v>
      </c>
      <c r="W22" s="14"/>
    </row>
    <row r="23" spans="1:23" x14ac:dyDescent="0.2">
      <c r="A23" s="6"/>
      <c r="B23" s="223"/>
      <c r="C23" s="19" t="s">
        <v>28</v>
      </c>
      <c r="D23" s="198">
        <v>44603</v>
      </c>
      <c r="E23" s="198">
        <v>45292</v>
      </c>
      <c r="F23" s="71">
        <v>0.27629130000000002</v>
      </c>
      <c r="G23" s="71">
        <v>0.42198170000000002</v>
      </c>
      <c r="H23" s="205">
        <f t="shared" si="0"/>
        <v>0.1456904</v>
      </c>
      <c r="I23" s="49" t="s">
        <v>43</v>
      </c>
      <c r="J23" s="49" t="s">
        <v>43</v>
      </c>
      <c r="K23" s="88" t="s">
        <v>150</v>
      </c>
      <c r="N23" s="1">
        <v>20</v>
      </c>
      <c r="O23" s="2" t="s">
        <v>47</v>
      </c>
      <c r="P23" s="2" t="s">
        <v>28</v>
      </c>
      <c r="Q23" s="14">
        <v>44603</v>
      </c>
      <c r="R23" s="14">
        <v>45292</v>
      </c>
      <c r="S23" s="2">
        <v>0.27629130000000002</v>
      </c>
      <c r="T23" s="2">
        <v>0.42198170000000002</v>
      </c>
      <c r="U23" s="2" t="s">
        <v>43</v>
      </c>
      <c r="V23" s="2" t="s">
        <v>43</v>
      </c>
      <c r="W23" s="14"/>
    </row>
    <row r="24" spans="1:23" x14ac:dyDescent="0.2">
      <c r="A24" s="6"/>
      <c r="B24" s="223"/>
      <c r="C24" s="19" t="s">
        <v>38</v>
      </c>
      <c r="D24" s="198">
        <v>44864</v>
      </c>
      <c r="E24" s="198">
        <v>45440</v>
      </c>
      <c r="F24" s="71">
        <v>0.25440679999999999</v>
      </c>
      <c r="G24" s="71">
        <v>0.44799</v>
      </c>
      <c r="H24" s="205">
        <f t="shared" si="0"/>
        <v>0.19358320000000001</v>
      </c>
      <c r="I24" s="49" t="s">
        <v>43</v>
      </c>
      <c r="J24" s="49" t="s">
        <v>43</v>
      </c>
      <c r="K24" s="88" t="s">
        <v>150</v>
      </c>
      <c r="N24" s="1">
        <v>21</v>
      </c>
      <c r="O24" s="2" t="s">
        <v>47</v>
      </c>
      <c r="P24" s="2" t="s">
        <v>38</v>
      </c>
      <c r="Q24" s="14">
        <v>44864</v>
      </c>
      <c r="R24" s="14">
        <v>45440</v>
      </c>
      <c r="S24" s="2">
        <v>0.25440679999999999</v>
      </c>
      <c r="T24" s="2">
        <v>0.44799</v>
      </c>
      <c r="U24" s="2" t="s">
        <v>43</v>
      </c>
      <c r="V24" s="2" t="s">
        <v>43</v>
      </c>
      <c r="W24" s="14"/>
    </row>
    <row r="25" spans="1:23" x14ac:dyDescent="0.2">
      <c r="A25" s="6"/>
      <c r="B25" s="223"/>
      <c r="C25" s="19" t="s">
        <v>37</v>
      </c>
      <c r="D25" s="198">
        <v>44927</v>
      </c>
      <c r="E25" s="198">
        <v>45399</v>
      </c>
      <c r="F25" s="71">
        <v>0.21266370000000001</v>
      </c>
      <c r="G25" s="71">
        <v>0.35023019999999999</v>
      </c>
      <c r="H25" s="205">
        <f t="shared" si="0"/>
        <v>0.13756649999999998</v>
      </c>
      <c r="I25" s="49" t="s">
        <v>43</v>
      </c>
      <c r="J25" s="49" t="s">
        <v>43</v>
      </c>
      <c r="K25" s="88" t="s">
        <v>150</v>
      </c>
      <c r="N25" s="1">
        <v>22</v>
      </c>
      <c r="O25" s="2" t="s">
        <v>47</v>
      </c>
      <c r="P25" s="2" t="s">
        <v>37</v>
      </c>
      <c r="Q25" s="14">
        <v>44927</v>
      </c>
      <c r="R25" s="14">
        <v>45399</v>
      </c>
      <c r="S25" s="2">
        <v>0.21266370000000001</v>
      </c>
      <c r="T25" s="2">
        <v>0.35023019999999999</v>
      </c>
      <c r="U25" s="2" t="s">
        <v>43</v>
      </c>
      <c r="V25" s="2" t="s">
        <v>43</v>
      </c>
    </row>
    <row r="26" spans="1:23" x14ac:dyDescent="0.2">
      <c r="A26" s="6"/>
      <c r="B26" s="223"/>
      <c r="C26" s="19" t="s">
        <v>33</v>
      </c>
      <c r="D26" s="198">
        <v>45187</v>
      </c>
      <c r="E26" s="198">
        <v>45529</v>
      </c>
      <c r="F26" s="71">
        <v>0.1703703</v>
      </c>
      <c r="G26" s="71">
        <v>0.20920830000000001</v>
      </c>
      <c r="H26" s="205">
        <f t="shared" si="0"/>
        <v>3.8838000000000011E-2</v>
      </c>
      <c r="I26" s="49" t="s">
        <v>43</v>
      </c>
      <c r="J26" s="49" t="s">
        <v>43</v>
      </c>
      <c r="K26" s="88" t="s">
        <v>150</v>
      </c>
      <c r="N26" s="1">
        <v>23</v>
      </c>
      <c r="O26" s="2" t="s">
        <v>47</v>
      </c>
      <c r="P26" s="2" t="s">
        <v>33</v>
      </c>
      <c r="Q26" s="14">
        <v>45187</v>
      </c>
      <c r="R26" s="14">
        <v>45529</v>
      </c>
      <c r="S26" s="2">
        <v>0.1703703</v>
      </c>
      <c r="T26" s="2">
        <v>0.20920830000000001</v>
      </c>
      <c r="U26" s="2" t="s">
        <v>43</v>
      </c>
      <c r="V26" s="2" t="s">
        <v>43</v>
      </c>
    </row>
    <row r="27" spans="1:23" x14ac:dyDescent="0.2">
      <c r="A27" s="6"/>
      <c r="B27" s="223"/>
      <c r="C27" s="19" t="s">
        <v>32</v>
      </c>
      <c r="D27" s="198">
        <v>45190</v>
      </c>
      <c r="E27" s="198">
        <v>45528</v>
      </c>
      <c r="F27" s="71">
        <v>0.40071479999999998</v>
      </c>
      <c r="G27" s="71">
        <v>0.68916379999999999</v>
      </c>
      <c r="H27" s="205">
        <f t="shared" si="0"/>
        <v>0.28844900000000001</v>
      </c>
      <c r="I27" s="49" t="s">
        <v>43</v>
      </c>
      <c r="J27" s="49" t="s">
        <v>43</v>
      </c>
      <c r="K27" s="88" t="s">
        <v>150</v>
      </c>
      <c r="N27" s="1">
        <v>24</v>
      </c>
      <c r="O27" s="2" t="s">
        <v>47</v>
      </c>
      <c r="P27" s="2" t="s">
        <v>32</v>
      </c>
      <c r="Q27" s="14">
        <v>45190</v>
      </c>
      <c r="R27" s="14">
        <v>45528</v>
      </c>
      <c r="S27" s="2">
        <v>0.40071479999999998</v>
      </c>
      <c r="T27" s="2">
        <v>0.68916379999999999</v>
      </c>
      <c r="U27" s="2" t="s">
        <v>43</v>
      </c>
      <c r="V27" s="2" t="s">
        <v>43</v>
      </c>
    </row>
    <row r="28" spans="1:23" x14ac:dyDescent="0.2">
      <c r="A28" s="6"/>
      <c r="B28" s="224"/>
      <c r="C28" s="115" t="s">
        <v>406</v>
      </c>
      <c r="D28" s="202">
        <v>43892</v>
      </c>
      <c r="E28" s="202">
        <v>45483</v>
      </c>
      <c r="F28" s="117" t="s">
        <v>57</v>
      </c>
      <c r="G28" s="117" t="s">
        <v>57</v>
      </c>
      <c r="H28" s="117" t="s">
        <v>57</v>
      </c>
      <c r="I28" s="214" t="s">
        <v>57</v>
      </c>
      <c r="J28" s="214" t="s">
        <v>57</v>
      </c>
      <c r="K28" s="214" t="s">
        <v>57</v>
      </c>
      <c r="N28" s="1"/>
      <c r="O28" s="2"/>
      <c r="P28" s="2"/>
      <c r="Q28" s="14"/>
      <c r="R28" s="14"/>
      <c r="S28" s="2"/>
      <c r="T28" s="2"/>
      <c r="U28" s="2"/>
      <c r="V28" s="2"/>
    </row>
    <row r="29" spans="1:23" x14ac:dyDescent="0.2">
      <c r="A29" s="6"/>
      <c r="B29" s="218" t="s">
        <v>295</v>
      </c>
      <c r="C29" s="121" t="s">
        <v>151</v>
      </c>
      <c r="D29" s="197">
        <v>44249</v>
      </c>
      <c r="E29" s="197">
        <v>44460</v>
      </c>
      <c r="F29" s="206">
        <v>0.31781389999999998</v>
      </c>
      <c r="G29" s="206">
        <v>0.4606924</v>
      </c>
      <c r="H29" s="207">
        <f t="shared" si="0"/>
        <v>0.14287850000000002</v>
      </c>
      <c r="I29" s="124" t="s">
        <v>43</v>
      </c>
      <c r="J29" s="124" t="s">
        <v>43</v>
      </c>
      <c r="K29" s="125" t="s">
        <v>150</v>
      </c>
      <c r="N29" s="1">
        <v>25</v>
      </c>
      <c r="O29" s="2" t="s">
        <v>48</v>
      </c>
      <c r="P29" s="2" t="s">
        <v>151</v>
      </c>
      <c r="Q29" s="14">
        <v>44249</v>
      </c>
      <c r="R29" s="14">
        <v>44460</v>
      </c>
      <c r="S29" s="2">
        <v>0.31781389999999998</v>
      </c>
      <c r="T29" s="2">
        <v>0.4606924</v>
      </c>
      <c r="U29" s="2" t="s">
        <v>43</v>
      </c>
      <c r="V29" s="2" t="s">
        <v>43</v>
      </c>
    </row>
    <row r="30" spans="1:23" x14ac:dyDescent="0.2">
      <c r="A30" s="6"/>
      <c r="B30" s="219"/>
      <c r="C30" s="19" t="s">
        <v>9</v>
      </c>
      <c r="D30" s="198">
        <v>44308</v>
      </c>
      <c r="E30" s="198">
        <v>45118</v>
      </c>
      <c r="F30" s="71">
        <v>0.19315599999999999</v>
      </c>
      <c r="G30" s="71">
        <v>0.39782459999999997</v>
      </c>
      <c r="H30" s="205">
        <f t="shared" si="0"/>
        <v>0.20466859999999998</v>
      </c>
      <c r="I30" s="49" t="s">
        <v>43</v>
      </c>
      <c r="J30" s="49" t="s">
        <v>43</v>
      </c>
      <c r="K30" s="88" t="s">
        <v>150</v>
      </c>
      <c r="N30" s="1">
        <v>26</v>
      </c>
      <c r="O30" s="2" t="s">
        <v>48</v>
      </c>
      <c r="P30" s="2" t="s">
        <v>9</v>
      </c>
      <c r="Q30" s="14">
        <v>44308</v>
      </c>
      <c r="R30" s="14">
        <v>45118</v>
      </c>
      <c r="S30" s="2">
        <v>0.19315599999999999</v>
      </c>
      <c r="T30" s="2">
        <v>0.39782459999999997</v>
      </c>
      <c r="U30" s="2" t="s">
        <v>43</v>
      </c>
      <c r="V30" s="2" t="s">
        <v>43</v>
      </c>
    </row>
    <row r="31" spans="1:23" x14ac:dyDescent="0.2">
      <c r="A31" s="6"/>
      <c r="B31" s="219"/>
      <c r="C31" s="19" t="s">
        <v>49</v>
      </c>
      <c r="D31" s="198">
        <v>44331</v>
      </c>
      <c r="E31" s="198">
        <v>44602</v>
      </c>
      <c r="F31" s="71">
        <v>0.25800640000000002</v>
      </c>
      <c r="G31" s="71">
        <v>0.60630249999999997</v>
      </c>
      <c r="H31" s="205">
        <f t="shared" si="0"/>
        <v>0.34829609999999994</v>
      </c>
      <c r="I31" s="49" t="s">
        <v>43</v>
      </c>
      <c r="J31" s="49" t="s">
        <v>43</v>
      </c>
      <c r="K31" s="88" t="s">
        <v>150</v>
      </c>
      <c r="N31" s="1">
        <v>27</v>
      </c>
      <c r="O31" s="2" t="s">
        <v>48</v>
      </c>
      <c r="P31" s="2" t="s">
        <v>49</v>
      </c>
      <c r="Q31" s="14">
        <v>44331</v>
      </c>
      <c r="R31" s="14">
        <v>44602</v>
      </c>
      <c r="S31" s="2">
        <v>0.25800640000000002</v>
      </c>
      <c r="T31" s="2">
        <v>0.60630249999999997</v>
      </c>
      <c r="U31" s="2" t="s">
        <v>43</v>
      </c>
      <c r="V31" s="2" t="s">
        <v>43</v>
      </c>
    </row>
    <row r="32" spans="1:23" x14ac:dyDescent="0.2">
      <c r="A32" s="6"/>
      <c r="B32" s="219"/>
      <c r="C32" s="19" t="s">
        <v>152</v>
      </c>
      <c r="D32" s="198">
        <v>44416</v>
      </c>
      <c r="E32" s="198">
        <v>44624</v>
      </c>
      <c r="F32" s="71">
        <v>0.20476759999999999</v>
      </c>
      <c r="G32" s="71">
        <v>0.4533548</v>
      </c>
      <c r="H32" s="205">
        <f t="shared" si="0"/>
        <v>0.24858720000000001</v>
      </c>
      <c r="I32" s="49" t="s">
        <v>43</v>
      </c>
      <c r="J32" s="49" t="s">
        <v>43</v>
      </c>
      <c r="K32" s="88" t="s">
        <v>150</v>
      </c>
      <c r="N32" s="1">
        <v>28</v>
      </c>
      <c r="O32" s="2" t="s">
        <v>48</v>
      </c>
      <c r="P32" s="2" t="s">
        <v>152</v>
      </c>
      <c r="Q32" s="14">
        <v>44416</v>
      </c>
      <c r="R32" s="14">
        <v>44624</v>
      </c>
      <c r="S32" s="2">
        <v>0.20476759999999999</v>
      </c>
      <c r="T32" s="2">
        <v>0.4533548</v>
      </c>
      <c r="U32" s="2" t="s">
        <v>43</v>
      </c>
      <c r="V32" s="2" t="s">
        <v>43</v>
      </c>
    </row>
    <row r="33" spans="1:23" x14ac:dyDescent="0.2">
      <c r="A33" s="6"/>
      <c r="B33" s="219"/>
      <c r="C33" s="19" t="s">
        <v>18</v>
      </c>
      <c r="D33" s="198">
        <v>44524</v>
      </c>
      <c r="E33" s="198">
        <v>44746</v>
      </c>
      <c r="F33" s="71">
        <v>0.42519620000000002</v>
      </c>
      <c r="G33" s="71">
        <v>0.63999280000000003</v>
      </c>
      <c r="H33" s="205">
        <f t="shared" si="0"/>
        <v>0.2147966</v>
      </c>
      <c r="I33" s="49" t="s">
        <v>45</v>
      </c>
      <c r="J33" s="49" t="s">
        <v>45</v>
      </c>
      <c r="K33" s="88" t="s">
        <v>150</v>
      </c>
      <c r="N33" s="1">
        <v>29</v>
      </c>
      <c r="O33" s="2" t="s">
        <v>48</v>
      </c>
      <c r="P33" s="2" t="s">
        <v>18</v>
      </c>
      <c r="Q33" s="14">
        <v>44524</v>
      </c>
      <c r="R33" s="14">
        <v>44746</v>
      </c>
      <c r="S33" s="2">
        <v>0.42519620000000002</v>
      </c>
      <c r="T33" s="2">
        <v>0.63999280000000003</v>
      </c>
      <c r="U33" s="2" t="s">
        <v>45</v>
      </c>
      <c r="V33" s="2" t="s">
        <v>45</v>
      </c>
    </row>
    <row r="34" spans="1:23" x14ac:dyDescent="0.2">
      <c r="A34" s="6"/>
      <c r="B34" s="219"/>
      <c r="C34" s="19" t="s">
        <v>22</v>
      </c>
      <c r="D34" s="198">
        <v>44559</v>
      </c>
      <c r="E34" s="198">
        <v>45000</v>
      </c>
      <c r="F34" s="71">
        <v>0.20758119999999999</v>
      </c>
      <c r="G34" s="71">
        <v>0.3324608</v>
      </c>
      <c r="H34" s="205">
        <f t="shared" si="0"/>
        <v>0.12487960000000001</v>
      </c>
      <c r="I34" s="49" t="s">
        <v>43</v>
      </c>
      <c r="J34" s="49" t="s">
        <v>43</v>
      </c>
      <c r="K34" s="88" t="s">
        <v>150</v>
      </c>
      <c r="N34" s="1">
        <v>30</v>
      </c>
      <c r="O34" s="2" t="s">
        <v>48</v>
      </c>
      <c r="P34" s="2" t="s">
        <v>22</v>
      </c>
      <c r="Q34" s="14">
        <v>44559</v>
      </c>
      <c r="R34" s="14">
        <v>45000</v>
      </c>
      <c r="S34" s="2">
        <v>0.20758119999999999</v>
      </c>
      <c r="T34" s="2">
        <v>0.3324608</v>
      </c>
      <c r="U34" s="2" t="s">
        <v>43</v>
      </c>
      <c r="V34" s="2" t="s">
        <v>43</v>
      </c>
    </row>
    <row r="35" spans="1:23" x14ac:dyDescent="0.2">
      <c r="A35" s="6"/>
      <c r="B35" s="219"/>
      <c r="C35" s="19" t="s">
        <v>26</v>
      </c>
      <c r="D35" s="199">
        <v>44691</v>
      </c>
      <c r="E35" s="199">
        <v>45031</v>
      </c>
      <c r="F35" s="71">
        <v>0.1344041</v>
      </c>
      <c r="G35" s="71">
        <v>0.2443496</v>
      </c>
      <c r="H35" s="205">
        <f t="shared" si="0"/>
        <v>0.1099455</v>
      </c>
      <c r="I35" s="70" t="s">
        <v>45</v>
      </c>
      <c r="J35" s="70" t="s">
        <v>43</v>
      </c>
      <c r="K35" s="88" t="s">
        <v>163</v>
      </c>
      <c r="N35" s="1">
        <v>31</v>
      </c>
      <c r="O35" s="2" t="s">
        <v>48</v>
      </c>
      <c r="P35" s="2" t="s">
        <v>26</v>
      </c>
      <c r="Q35" s="14">
        <v>44691</v>
      </c>
      <c r="R35" s="14">
        <v>45031</v>
      </c>
      <c r="S35" s="2">
        <v>0.1344041</v>
      </c>
      <c r="T35" s="2">
        <v>0.2443496</v>
      </c>
      <c r="U35" s="2" t="s">
        <v>45</v>
      </c>
      <c r="V35" s="2" t="s">
        <v>43</v>
      </c>
    </row>
    <row r="36" spans="1:23" x14ac:dyDescent="0.2">
      <c r="A36" s="15"/>
      <c r="B36" s="219"/>
      <c r="C36" s="19" t="s">
        <v>25</v>
      </c>
      <c r="D36" s="199">
        <v>44692</v>
      </c>
      <c r="E36" s="199">
        <v>45313</v>
      </c>
      <c r="F36" s="71">
        <v>0.23622290000000001</v>
      </c>
      <c r="G36" s="71">
        <v>0.38716840000000002</v>
      </c>
      <c r="H36" s="205">
        <f t="shared" si="0"/>
        <v>0.15094550000000001</v>
      </c>
      <c r="I36" s="70" t="s">
        <v>43</v>
      </c>
      <c r="J36" s="70" t="s">
        <v>43</v>
      </c>
      <c r="K36" s="88" t="s">
        <v>150</v>
      </c>
      <c r="N36" s="1">
        <v>32</v>
      </c>
      <c r="O36" s="2" t="s">
        <v>48</v>
      </c>
      <c r="P36" s="2" t="s">
        <v>25</v>
      </c>
      <c r="Q36" s="14">
        <v>44692</v>
      </c>
      <c r="R36" s="14">
        <v>45313</v>
      </c>
      <c r="S36" s="2">
        <v>0.23622290000000001</v>
      </c>
      <c r="T36" s="2">
        <v>0.38716840000000002</v>
      </c>
      <c r="U36" s="2" t="s">
        <v>43</v>
      </c>
      <c r="V36" s="2" t="s">
        <v>43</v>
      </c>
    </row>
    <row r="37" spans="1:23" x14ac:dyDescent="0.2">
      <c r="A37" s="15"/>
      <c r="B37" s="219"/>
      <c r="C37" s="19" t="s">
        <v>38</v>
      </c>
      <c r="D37" s="199">
        <v>44888</v>
      </c>
      <c r="E37" s="199">
        <v>45271</v>
      </c>
      <c r="F37" s="71">
        <v>0.1376773</v>
      </c>
      <c r="G37" s="71">
        <v>0.20545240000000001</v>
      </c>
      <c r="H37" s="205">
        <f t="shared" si="0"/>
        <v>6.7775100000000005E-2</v>
      </c>
      <c r="I37" s="70" t="s">
        <v>43</v>
      </c>
      <c r="J37" s="70" t="s">
        <v>43</v>
      </c>
      <c r="K37" s="88" t="s">
        <v>150</v>
      </c>
      <c r="N37" s="1">
        <v>33</v>
      </c>
      <c r="O37" s="2" t="s">
        <v>48</v>
      </c>
      <c r="P37" s="2" t="s">
        <v>38</v>
      </c>
      <c r="Q37" s="14">
        <v>44888</v>
      </c>
      <c r="R37" s="14">
        <v>45271</v>
      </c>
      <c r="S37" s="2">
        <v>0.1376773</v>
      </c>
      <c r="T37" s="2">
        <v>0.20545240000000001</v>
      </c>
      <c r="U37" s="2" t="s">
        <v>43</v>
      </c>
      <c r="V37" s="2" t="s">
        <v>43</v>
      </c>
    </row>
    <row r="38" spans="1:23" x14ac:dyDescent="0.2">
      <c r="A38" s="15"/>
      <c r="B38" s="219"/>
      <c r="C38" s="19" t="s">
        <v>367</v>
      </c>
      <c r="D38" s="199">
        <v>45062</v>
      </c>
      <c r="E38" s="199">
        <v>45378</v>
      </c>
      <c r="F38" s="71">
        <v>0.1405353</v>
      </c>
      <c r="G38" s="71">
        <v>0.228547</v>
      </c>
      <c r="H38" s="205">
        <f t="shared" si="0"/>
        <v>8.8011699999999998E-2</v>
      </c>
      <c r="I38" s="70" t="s">
        <v>43</v>
      </c>
      <c r="J38" s="70" t="s">
        <v>43</v>
      </c>
      <c r="K38" s="88" t="s">
        <v>150</v>
      </c>
      <c r="N38" s="1">
        <v>34</v>
      </c>
      <c r="O38" s="2" t="s">
        <v>48</v>
      </c>
      <c r="P38" s="2" t="s">
        <v>367</v>
      </c>
      <c r="Q38" s="14">
        <v>45062</v>
      </c>
      <c r="R38" s="14">
        <v>45378</v>
      </c>
      <c r="S38" s="2">
        <v>0.1405353</v>
      </c>
      <c r="T38" s="2">
        <v>0.228547</v>
      </c>
      <c r="U38" s="2" t="s">
        <v>43</v>
      </c>
      <c r="V38" s="2" t="s">
        <v>43</v>
      </c>
    </row>
    <row r="39" spans="1:23" x14ac:dyDescent="0.2">
      <c r="A39" s="15"/>
      <c r="B39" s="219"/>
      <c r="C39" s="19" t="s">
        <v>30</v>
      </c>
      <c r="D39" s="199">
        <v>45111</v>
      </c>
      <c r="E39" s="199">
        <v>45397</v>
      </c>
      <c r="F39" s="71">
        <v>0.24535660000000001</v>
      </c>
      <c r="G39" s="71">
        <v>0.60618000000000005</v>
      </c>
      <c r="H39" s="205">
        <f t="shared" si="0"/>
        <v>0.36082340000000002</v>
      </c>
      <c r="I39" s="70" t="s">
        <v>43</v>
      </c>
      <c r="J39" s="70" t="s">
        <v>43</v>
      </c>
      <c r="K39" s="88" t="s">
        <v>150</v>
      </c>
      <c r="N39" s="1">
        <v>35</v>
      </c>
      <c r="O39" s="2" t="s">
        <v>48</v>
      </c>
      <c r="P39" s="2" t="s">
        <v>30</v>
      </c>
      <c r="Q39" s="14">
        <v>45111</v>
      </c>
      <c r="R39" s="14">
        <v>45397</v>
      </c>
      <c r="S39" s="2">
        <v>0.24535660000000001</v>
      </c>
      <c r="T39" s="2">
        <v>0.60618000000000005</v>
      </c>
      <c r="U39" s="2" t="s">
        <v>43</v>
      </c>
      <c r="V39" s="2" t="s">
        <v>43</v>
      </c>
    </row>
    <row r="40" spans="1:23" x14ac:dyDescent="0.2">
      <c r="A40" s="15"/>
      <c r="B40" s="219"/>
      <c r="C40" s="19" t="s">
        <v>32</v>
      </c>
      <c r="D40" s="199">
        <v>45223</v>
      </c>
      <c r="E40" s="199">
        <v>45410</v>
      </c>
      <c r="F40" s="71">
        <v>0.2127676</v>
      </c>
      <c r="G40" s="71">
        <v>0.54583879999999996</v>
      </c>
      <c r="H40" s="205">
        <f t="shared" si="0"/>
        <v>0.33307119999999996</v>
      </c>
      <c r="I40" s="70" t="s">
        <v>45</v>
      </c>
      <c r="J40" s="70" t="s">
        <v>43</v>
      </c>
      <c r="K40" s="88" t="s">
        <v>163</v>
      </c>
      <c r="N40" s="1">
        <v>36</v>
      </c>
      <c r="O40" s="2" t="s">
        <v>48</v>
      </c>
      <c r="P40" s="2" t="s">
        <v>32</v>
      </c>
      <c r="Q40" s="14">
        <v>45223</v>
      </c>
      <c r="R40" s="14">
        <v>45410</v>
      </c>
      <c r="S40" s="2">
        <v>0.2127676</v>
      </c>
      <c r="T40" s="2">
        <v>0.54583879999999996</v>
      </c>
      <c r="U40" s="2" t="s">
        <v>45</v>
      </c>
      <c r="V40" s="2" t="s">
        <v>43</v>
      </c>
    </row>
    <row r="41" spans="1:23" x14ac:dyDescent="0.2">
      <c r="A41" s="15"/>
      <c r="B41" s="221"/>
      <c r="C41" s="115" t="s">
        <v>177</v>
      </c>
      <c r="D41" s="202">
        <v>44235</v>
      </c>
      <c r="E41" s="202">
        <v>45342</v>
      </c>
      <c r="F41" s="117" t="s">
        <v>57</v>
      </c>
      <c r="G41" s="117" t="s">
        <v>57</v>
      </c>
      <c r="H41" s="117" t="s">
        <v>57</v>
      </c>
      <c r="I41" s="214" t="s">
        <v>57</v>
      </c>
      <c r="J41" s="214" t="s">
        <v>57</v>
      </c>
      <c r="K41" s="214" t="s">
        <v>57</v>
      </c>
      <c r="N41" s="1"/>
      <c r="O41" s="2"/>
      <c r="P41" s="2"/>
      <c r="Q41" s="14"/>
      <c r="R41" s="14"/>
      <c r="S41" s="2"/>
      <c r="T41" s="2"/>
      <c r="U41" s="2"/>
      <c r="V41" s="2"/>
    </row>
    <row r="42" spans="1:23" x14ac:dyDescent="0.2">
      <c r="A42" s="15"/>
      <c r="B42" s="111"/>
      <c r="D42" s="199"/>
      <c r="E42" s="199"/>
      <c r="F42" s="71"/>
      <c r="G42" s="71"/>
      <c r="H42" s="205"/>
      <c r="I42" s="70"/>
      <c r="J42" s="70"/>
      <c r="K42" s="80"/>
      <c r="N42" s="1"/>
      <c r="O42" s="2"/>
      <c r="P42" s="2"/>
      <c r="Q42" s="14"/>
      <c r="R42" s="14"/>
      <c r="S42" s="2"/>
      <c r="T42" s="2"/>
      <c r="U42" s="2"/>
      <c r="V42" s="2"/>
    </row>
    <row r="43" spans="1:23" ht="17" thickBot="1" x14ac:dyDescent="0.25">
      <c r="A43" s="15"/>
      <c r="B43" s="111"/>
      <c r="D43" s="199"/>
      <c r="E43" s="199"/>
      <c r="F43" s="71"/>
      <c r="G43" s="71"/>
      <c r="H43" s="205"/>
      <c r="I43" s="70"/>
      <c r="J43" s="70"/>
      <c r="K43" s="80"/>
      <c r="N43" s="1"/>
      <c r="O43" s="2"/>
      <c r="P43" s="2"/>
      <c r="Q43" s="14"/>
      <c r="R43" s="14"/>
      <c r="S43" s="2"/>
      <c r="T43" s="2"/>
      <c r="U43" s="2"/>
      <c r="V43" s="2"/>
    </row>
    <row r="44" spans="1:23" x14ac:dyDescent="0.2">
      <c r="A44" s="15"/>
      <c r="B44" s="194" t="s">
        <v>39</v>
      </c>
      <c r="C44" s="150" t="s">
        <v>40</v>
      </c>
      <c r="D44" s="201" t="s">
        <v>46</v>
      </c>
      <c r="E44" s="201" t="s">
        <v>56</v>
      </c>
      <c r="F44" s="195" t="s">
        <v>54</v>
      </c>
      <c r="G44" s="195" t="s">
        <v>53</v>
      </c>
      <c r="H44" s="195" t="s">
        <v>153</v>
      </c>
      <c r="I44" s="196" t="s">
        <v>51</v>
      </c>
      <c r="J44" s="196" t="s">
        <v>52</v>
      </c>
      <c r="K44" s="196" t="s">
        <v>50</v>
      </c>
      <c r="N44" s="1"/>
      <c r="O44" s="2"/>
      <c r="P44" s="2"/>
      <c r="Q44" s="14"/>
      <c r="R44" s="14"/>
      <c r="S44" s="2"/>
      <c r="T44" s="2"/>
      <c r="U44" s="2"/>
      <c r="V44" s="2"/>
    </row>
    <row r="45" spans="1:23" x14ac:dyDescent="0.2">
      <c r="A45" s="3"/>
      <c r="B45" s="218" t="s">
        <v>8</v>
      </c>
      <c r="C45" s="17" t="s">
        <v>16</v>
      </c>
      <c r="D45" s="203">
        <v>43899</v>
      </c>
      <c r="E45" s="203">
        <v>45124</v>
      </c>
      <c r="F45" s="51">
        <v>0.17358323000000001</v>
      </c>
      <c r="G45" s="51">
        <v>0.51565749999999999</v>
      </c>
      <c r="H45" s="51">
        <f>G45-F45</f>
        <v>0.34207427000000001</v>
      </c>
      <c r="I45" s="213" t="s">
        <v>45</v>
      </c>
      <c r="J45" s="5" t="s">
        <v>43</v>
      </c>
      <c r="K45" s="88" t="str">
        <f>IF(I45=J45,"T","F")</f>
        <v>F</v>
      </c>
      <c r="N45" s="1"/>
      <c r="O45" s="2"/>
      <c r="P45" s="2"/>
      <c r="Q45" s="14"/>
      <c r="R45" s="14"/>
      <c r="S45" s="2"/>
      <c r="T45" s="2"/>
      <c r="U45" s="2"/>
      <c r="V45" s="2"/>
    </row>
    <row r="46" spans="1:23" x14ac:dyDescent="0.2">
      <c r="A46" s="3"/>
      <c r="B46" s="219"/>
      <c r="C46" s="17" t="s">
        <v>36</v>
      </c>
      <c r="D46" s="203">
        <v>43902</v>
      </c>
      <c r="E46" s="203">
        <v>45355</v>
      </c>
      <c r="F46" s="51">
        <v>0.21386922</v>
      </c>
      <c r="G46" s="51">
        <v>0.64569730000000003</v>
      </c>
      <c r="H46" s="51">
        <f t="shared" ref="H46:H109" si="1">G46-F46</f>
        <v>0.43182808000000006</v>
      </c>
      <c r="I46" s="213" t="s">
        <v>45</v>
      </c>
      <c r="J46" s="5" t="s">
        <v>43</v>
      </c>
      <c r="K46" s="88" t="str">
        <f t="shared" ref="K46:K118" si="2">IF(I46=J46,"T","F")</f>
        <v>F</v>
      </c>
      <c r="N46" s="1"/>
      <c r="O46" s="2"/>
      <c r="P46" s="2"/>
      <c r="Q46" s="14"/>
      <c r="R46" s="14"/>
      <c r="S46" s="2"/>
      <c r="T46" s="2"/>
      <c r="U46" s="2"/>
      <c r="V46" s="2"/>
    </row>
    <row r="47" spans="1:23" x14ac:dyDescent="0.2">
      <c r="A47" s="3"/>
      <c r="B47" s="219"/>
      <c r="C47" s="17" t="s">
        <v>20</v>
      </c>
      <c r="D47" s="203">
        <v>43924</v>
      </c>
      <c r="E47" s="203">
        <v>45526</v>
      </c>
      <c r="F47" s="51">
        <v>0.41927241999999998</v>
      </c>
      <c r="G47" s="51">
        <v>0.55112910000000004</v>
      </c>
      <c r="H47" s="51">
        <f t="shared" si="1"/>
        <v>0.13185668000000006</v>
      </c>
      <c r="I47" s="213" t="s">
        <v>43</v>
      </c>
      <c r="J47" s="5" t="s">
        <v>43</v>
      </c>
      <c r="K47" s="88" t="str">
        <f t="shared" si="2"/>
        <v>T</v>
      </c>
      <c r="N47" s="1"/>
      <c r="O47" s="2"/>
      <c r="P47" s="2"/>
      <c r="Q47" s="14"/>
      <c r="R47" s="14"/>
      <c r="S47" s="2"/>
      <c r="T47" s="2"/>
      <c r="U47" s="2"/>
      <c r="V47" s="2"/>
    </row>
    <row r="48" spans="1:23" x14ac:dyDescent="0.2">
      <c r="A48" s="3"/>
      <c r="B48" s="219"/>
      <c r="C48" s="17" t="s">
        <v>38</v>
      </c>
      <c r="D48" s="203">
        <v>43925</v>
      </c>
      <c r="E48" s="203">
        <v>45489</v>
      </c>
      <c r="F48" s="51">
        <v>0.40854928000000001</v>
      </c>
      <c r="G48" s="51">
        <v>0.81637230000000005</v>
      </c>
      <c r="H48" s="51">
        <f t="shared" si="1"/>
        <v>0.40782302000000004</v>
      </c>
      <c r="I48" s="213" t="s">
        <v>43</v>
      </c>
      <c r="J48" s="5" t="s">
        <v>43</v>
      </c>
      <c r="K48" s="88" t="str">
        <f t="shared" si="2"/>
        <v>T</v>
      </c>
      <c r="N48" s="1"/>
      <c r="O48" s="2"/>
      <c r="P48" s="2"/>
      <c r="Q48" s="14"/>
      <c r="R48" s="14"/>
      <c r="S48" s="2"/>
      <c r="T48" s="2"/>
      <c r="U48" s="2"/>
      <c r="V48" s="2"/>
      <c r="W48" s="14"/>
    </row>
    <row r="49" spans="1:23" x14ac:dyDescent="0.2">
      <c r="A49" s="3"/>
      <c r="B49" s="219"/>
      <c r="C49" s="17" t="s">
        <v>365</v>
      </c>
      <c r="D49" s="203">
        <v>43965</v>
      </c>
      <c r="E49" s="203">
        <v>44958</v>
      </c>
      <c r="F49" s="51">
        <v>0.22762315999999999</v>
      </c>
      <c r="G49" s="51">
        <v>0.25945800000000002</v>
      </c>
      <c r="H49" s="51">
        <f t="shared" si="1"/>
        <v>3.1834840000000031E-2</v>
      </c>
      <c r="I49" s="213" t="s">
        <v>43</v>
      </c>
      <c r="J49" s="5" t="s">
        <v>43</v>
      </c>
      <c r="K49" s="88" t="str">
        <f t="shared" si="2"/>
        <v>T</v>
      </c>
      <c r="N49" s="1"/>
      <c r="O49" s="2"/>
      <c r="P49" s="2"/>
      <c r="Q49" s="14"/>
      <c r="R49" s="14"/>
      <c r="S49" s="2"/>
      <c r="T49" s="2"/>
      <c r="U49" s="2"/>
      <c r="V49" s="2"/>
      <c r="W49" s="14"/>
    </row>
    <row r="50" spans="1:23" x14ac:dyDescent="0.2">
      <c r="A50" s="3"/>
      <c r="B50" s="219"/>
      <c r="C50" s="17" t="s">
        <v>27</v>
      </c>
      <c r="D50" s="203">
        <v>44061</v>
      </c>
      <c r="E50" s="203">
        <v>45532</v>
      </c>
      <c r="F50" s="51">
        <v>0.50505522000000003</v>
      </c>
      <c r="G50" s="51">
        <v>0.616031</v>
      </c>
      <c r="H50" s="51">
        <f t="shared" si="1"/>
        <v>0.11097577999999997</v>
      </c>
      <c r="I50" s="213" t="s">
        <v>43</v>
      </c>
      <c r="J50" s="5" t="s">
        <v>43</v>
      </c>
      <c r="K50" s="88" t="str">
        <f t="shared" si="2"/>
        <v>T</v>
      </c>
      <c r="N50" s="1"/>
      <c r="O50" s="2"/>
      <c r="P50" s="2"/>
      <c r="Q50" s="14"/>
      <c r="R50" s="14"/>
      <c r="S50" s="2"/>
      <c r="T50" s="2"/>
      <c r="U50" s="2"/>
      <c r="V50" s="2"/>
      <c r="W50" s="14"/>
    </row>
    <row r="51" spans="1:23" x14ac:dyDescent="0.2">
      <c r="A51" s="3"/>
      <c r="B51" s="219"/>
      <c r="C51" s="17" t="s">
        <v>26</v>
      </c>
      <c r="D51" s="203">
        <v>44505</v>
      </c>
      <c r="E51" s="203">
        <v>45393</v>
      </c>
      <c r="F51" s="51">
        <v>0.33199093000000002</v>
      </c>
      <c r="G51" s="51">
        <v>0.22722980000000001</v>
      </c>
      <c r="H51" s="51">
        <f t="shared" si="1"/>
        <v>-0.10476113000000001</v>
      </c>
      <c r="I51" s="213" t="s">
        <v>43</v>
      </c>
      <c r="J51" s="5" t="s">
        <v>43</v>
      </c>
      <c r="K51" s="88" t="str">
        <f t="shared" si="2"/>
        <v>T</v>
      </c>
      <c r="N51" s="1"/>
      <c r="O51" s="2"/>
      <c r="P51" s="2"/>
      <c r="Q51" s="14"/>
      <c r="R51" s="14"/>
      <c r="S51" s="2"/>
      <c r="T51" s="2"/>
      <c r="U51" s="2"/>
      <c r="V51" s="2"/>
      <c r="W51" s="14"/>
    </row>
    <row r="52" spans="1:23" x14ac:dyDescent="0.2">
      <c r="A52" s="3"/>
      <c r="B52" s="219"/>
      <c r="C52" s="17" t="s">
        <v>28</v>
      </c>
      <c r="D52" s="203">
        <v>44530</v>
      </c>
      <c r="E52" s="203">
        <v>45378</v>
      </c>
      <c r="F52" s="51">
        <v>0.38549044999999998</v>
      </c>
      <c r="G52" s="51">
        <v>0.41923880000000002</v>
      </c>
      <c r="H52" s="51">
        <f t="shared" si="1"/>
        <v>3.3748350000000038E-2</v>
      </c>
      <c r="I52" s="213" t="s">
        <v>43</v>
      </c>
      <c r="J52" s="5" t="s">
        <v>43</v>
      </c>
      <c r="K52" s="88" t="str">
        <f t="shared" si="2"/>
        <v>T</v>
      </c>
      <c r="N52" s="1"/>
      <c r="O52" s="2"/>
      <c r="P52" s="2"/>
      <c r="Q52" s="14"/>
      <c r="R52" s="14"/>
      <c r="S52" s="2"/>
      <c r="T52" s="2"/>
      <c r="U52" s="2"/>
      <c r="V52" s="2"/>
      <c r="W52" s="14"/>
    </row>
    <row r="53" spans="1:23" x14ac:dyDescent="0.2">
      <c r="A53" s="3"/>
      <c r="B53" s="219"/>
      <c r="C53" s="17" t="s">
        <v>31</v>
      </c>
      <c r="D53" s="203">
        <v>44935</v>
      </c>
      <c r="E53" s="203">
        <v>45520</v>
      </c>
      <c r="F53" s="51">
        <v>0.18300572000000001</v>
      </c>
      <c r="G53" s="51">
        <v>0.30143399999999998</v>
      </c>
      <c r="H53" s="51">
        <f t="shared" si="1"/>
        <v>0.11842827999999997</v>
      </c>
      <c r="I53" s="213" t="s">
        <v>43</v>
      </c>
      <c r="J53" s="5" t="s">
        <v>43</v>
      </c>
      <c r="K53" s="88" t="str">
        <f t="shared" si="2"/>
        <v>T</v>
      </c>
      <c r="N53" s="1"/>
      <c r="O53" s="2"/>
      <c r="P53" s="2"/>
      <c r="Q53" s="14"/>
      <c r="R53" s="14"/>
      <c r="S53" s="2"/>
      <c r="T53" s="2"/>
      <c r="U53" s="2"/>
      <c r="V53" s="2"/>
      <c r="W53" s="14"/>
    </row>
    <row r="54" spans="1:23" x14ac:dyDescent="0.2">
      <c r="A54" s="3"/>
      <c r="B54" s="219"/>
      <c r="C54" s="17" t="s">
        <v>32</v>
      </c>
      <c r="D54" s="203">
        <v>44935</v>
      </c>
      <c r="E54" s="203">
        <v>45535</v>
      </c>
      <c r="F54" s="51">
        <v>0.34868251</v>
      </c>
      <c r="G54" s="51">
        <v>0.53541369999999999</v>
      </c>
      <c r="H54" s="51">
        <f t="shared" si="1"/>
        <v>0.18673118999999999</v>
      </c>
      <c r="I54" s="213" t="s">
        <v>43</v>
      </c>
      <c r="J54" s="5" t="s">
        <v>43</v>
      </c>
      <c r="K54" s="88" t="str">
        <f t="shared" si="2"/>
        <v>T</v>
      </c>
      <c r="N54" s="1"/>
      <c r="O54" s="2"/>
      <c r="P54" s="2"/>
      <c r="Q54" s="14"/>
      <c r="R54" s="14"/>
      <c r="S54" s="2"/>
      <c r="T54" s="2"/>
      <c r="U54" s="2"/>
      <c r="V54" s="2"/>
      <c r="W54" s="14"/>
    </row>
    <row r="55" spans="1:23" x14ac:dyDescent="0.2">
      <c r="A55" s="3"/>
      <c r="B55" s="219"/>
      <c r="C55" s="17" t="s">
        <v>33</v>
      </c>
      <c r="D55" s="203">
        <v>45182</v>
      </c>
      <c r="E55" s="203">
        <v>45533</v>
      </c>
      <c r="F55" s="51">
        <v>0.28012223000000003</v>
      </c>
      <c r="G55" s="51">
        <v>0.31439709999999998</v>
      </c>
      <c r="H55" s="51">
        <f t="shared" si="1"/>
        <v>3.4274869999999957E-2</v>
      </c>
      <c r="I55" s="213" t="s">
        <v>43</v>
      </c>
      <c r="J55" s="5" t="s">
        <v>43</v>
      </c>
      <c r="K55" s="88" t="str">
        <f t="shared" si="2"/>
        <v>T</v>
      </c>
      <c r="L55" s="19"/>
      <c r="O55" s="1"/>
      <c r="P55" s="2"/>
      <c r="Q55" s="2"/>
      <c r="R55" s="14"/>
      <c r="S55" s="14"/>
      <c r="T55" s="2"/>
      <c r="U55" s="2"/>
      <c r="V55" s="2"/>
      <c r="W55" s="2" t="s">
        <v>43</v>
      </c>
    </row>
    <row r="56" spans="1:23" x14ac:dyDescent="0.2">
      <c r="A56" s="3"/>
      <c r="B56" s="221"/>
      <c r="C56" s="115" t="s">
        <v>405</v>
      </c>
      <c r="D56" s="202">
        <v>43892</v>
      </c>
      <c r="E56" s="202">
        <v>45520</v>
      </c>
      <c r="F56" s="117" t="s">
        <v>57</v>
      </c>
      <c r="G56" s="117" t="s">
        <v>57</v>
      </c>
      <c r="H56" s="117" t="s">
        <v>57</v>
      </c>
      <c r="I56" s="214" t="s">
        <v>57</v>
      </c>
      <c r="J56" s="214" t="s">
        <v>57</v>
      </c>
      <c r="K56" s="214" t="s">
        <v>57</v>
      </c>
      <c r="L56" s="19"/>
      <c r="O56" s="1"/>
      <c r="P56" s="1">
        <v>1</v>
      </c>
      <c r="Q56" s="2" t="s">
        <v>8</v>
      </c>
      <c r="R56" s="2">
        <v>68</v>
      </c>
      <c r="S56" s="14">
        <v>43892</v>
      </c>
      <c r="T56" s="14">
        <v>45520</v>
      </c>
      <c r="U56" s="2"/>
      <c r="V56" s="2"/>
      <c r="W56" s="2"/>
    </row>
    <row r="57" spans="1:23" x14ac:dyDescent="0.2">
      <c r="A57" s="3"/>
      <c r="B57" s="218" t="s">
        <v>47</v>
      </c>
      <c r="C57" s="17" t="s">
        <v>15</v>
      </c>
      <c r="D57" s="203">
        <v>43892</v>
      </c>
      <c r="E57" s="203">
        <v>44735</v>
      </c>
      <c r="F57" s="51">
        <v>0.16018604</v>
      </c>
      <c r="G57" s="51">
        <v>0.4129543</v>
      </c>
      <c r="H57" s="51">
        <f t="shared" si="1"/>
        <v>0.25276825999999997</v>
      </c>
      <c r="I57" s="213" t="s">
        <v>45</v>
      </c>
      <c r="J57" s="5" t="s">
        <v>43</v>
      </c>
      <c r="K57" s="88" t="str">
        <f t="shared" si="2"/>
        <v>F</v>
      </c>
      <c r="L57" s="19"/>
      <c r="O57" s="1"/>
      <c r="P57" s="1">
        <v>2</v>
      </c>
      <c r="Q57" s="2" t="s">
        <v>47</v>
      </c>
      <c r="R57" s="2">
        <v>73</v>
      </c>
      <c r="S57" s="14">
        <v>43892</v>
      </c>
      <c r="T57" s="14">
        <v>45483</v>
      </c>
      <c r="U57" s="2"/>
      <c r="V57" s="2"/>
      <c r="W57" s="2"/>
    </row>
    <row r="58" spans="1:23" x14ac:dyDescent="0.2">
      <c r="A58" s="3"/>
      <c r="B58" s="219"/>
      <c r="C58" s="17" t="s">
        <v>36</v>
      </c>
      <c r="D58" s="203">
        <v>43893</v>
      </c>
      <c r="E58" s="203">
        <v>44623</v>
      </c>
      <c r="F58" s="51">
        <v>0.50989987000000003</v>
      </c>
      <c r="G58" s="51">
        <v>0.98465369999999997</v>
      </c>
      <c r="H58" s="51">
        <f t="shared" si="1"/>
        <v>0.47475382999999993</v>
      </c>
      <c r="I58" s="213" t="s">
        <v>43</v>
      </c>
      <c r="J58" s="5" t="s">
        <v>43</v>
      </c>
      <c r="K58" s="88" t="str">
        <f t="shared" si="2"/>
        <v>T</v>
      </c>
      <c r="L58" s="19"/>
      <c r="O58" s="1"/>
      <c r="P58" s="1">
        <v>3</v>
      </c>
      <c r="Q58" s="2" t="s">
        <v>63</v>
      </c>
      <c r="R58" s="2">
        <v>46</v>
      </c>
      <c r="S58" s="14">
        <v>43899</v>
      </c>
      <c r="T58" s="14">
        <v>45292</v>
      </c>
      <c r="U58" s="2"/>
      <c r="V58" s="2"/>
      <c r="W58" s="2" t="s">
        <v>43</v>
      </c>
    </row>
    <row r="59" spans="1:23" x14ac:dyDescent="0.2">
      <c r="A59" s="3"/>
      <c r="B59" s="219"/>
      <c r="C59" s="17" t="s">
        <v>366</v>
      </c>
      <c r="D59" s="203">
        <v>44194</v>
      </c>
      <c r="E59" s="203">
        <v>44900</v>
      </c>
      <c r="F59" s="51">
        <v>0.22643023000000001</v>
      </c>
      <c r="G59" s="51">
        <v>0.27678409999999998</v>
      </c>
      <c r="H59" s="51">
        <f t="shared" si="1"/>
        <v>5.0353869999999967E-2</v>
      </c>
      <c r="I59" s="213" t="s">
        <v>45</v>
      </c>
      <c r="J59" s="5" t="s">
        <v>45</v>
      </c>
      <c r="K59" s="88" t="str">
        <f t="shared" si="2"/>
        <v>T</v>
      </c>
      <c r="L59" s="19"/>
      <c r="O59" s="1"/>
      <c r="P59" s="1">
        <v>4</v>
      </c>
      <c r="Q59" s="2" t="s">
        <v>64</v>
      </c>
      <c r="R59" s="2">
        <v>36</v>
      </c>
      <c r="S59" s="14">
        <v>43913</v>
      </c>
      <c r="T59" s="14">
        <v>45507</v>
      </c>
      <c r="U59" s="2"/>
      <c r="V59" s="2"/>
      <c r="W59" s="2" t="s">
        <v>43</v>
      </c>
    </row>
    <row r="60" spans="1:23" x14ac:dyDescent="0.2">
      <c r="A60" s="3"/>
      <c r="B60" s="219"/>
      <c r="C60" s="17" t="s">
        <v>17</v>
      </c>
      <c r="D60" s="203">
        <v>44197</v>
      </c>
      <c r="E60" s="203">
        <v>45217</v>
      </c>
      <c r="F60" s="51">
        <v>0.23311177</v>
      </c>
      <c r="G60" s="51">
        <v>0.32952140000000002</v>
      </c>
      <c r="H60" s="51">
        <f t="shared" si="1"/>
        <v>9.6409630000000024E-2</v>
      </c>
      <c r="I60" s="213" t="s">
        <v>45</v>
      </c>
      <c r="J60" s="5" t="s">
        <v>45</v>
      </c>
      <c r="K60" s="88" t="str">
        <f t="shared" si="2"/>
        <v>T</v>
      </c>
      <c r="L60" s="19"/>
      <c r="O60" s="1"/>
      <c r="P60" s="1">
        <v>5</v>
      </c>
      <c r="Q60" s="2" t="s">
        <v>71</v>
      </c>
      <c r="R60" s="2">
        <v>48</v>
      </c>
      <c r="S60" s="14">
        <v>44368</v>
      </c>
      <c r="T60" s="14">
        <v>45039</v>
      </c>
      <c r="U60" s="2"/>
      <c r="V60" s="2"/>
      <c r="W60" s="2" t="s">
        <v>43</v>
      </c>
    </row>
    <row r="61" spans="1:23" x14ac:dyDescent="0.2">
      <c r="A61" s="3"/>
      <c r="B61" s="219"/>
      <c r="C61" s="17" t="s">
        <v>18</v>
      </c>
      <c r="D61" s="203">
        <v>44197</v>
      </c>
      <c r="E61" s="203">
        <v>45204</v>
      </c>
      <c r="F61" s="51">
        <v>0.41552212999999999</v>
      </c>
      <c r="G61" s="51">
        <v>0.42421409999999998</v>
      </c>
      <c r="H61" s="51">
        <f t="shared" si="1"/>
        <v>8.6919699999999933E-3</v>
      </c>
      <c r="I61" s="213" t="s">
        <v>45</v>
      </c>
      <c r="J61" s="5" t="s">
        <v>45</v>
      </c>
      <c r="K61" s="88" t="str">
        <f t="shared" si="2"/>
        <v>T</v>
      </c>
      <c r="L61" s="19"/>
      <c r="O61" s="1"/>
      <c r="P61" s="1">
        <v>6</v>
      </c>
      <c r="Q61" s="2" t="s">
        <v>67</v>
      </c>
      <c r="R61" s="2">
        <v>52</v>
      </c>
      <c r="S61" s="14">
        <v>43906</v>
      </c>
      <c r="T61" s="14">
        <v>45530</v>
      </c>
      <c r="U61" s="2"/>
      <c r="V61" s="2"/>
      <c r="W61" s="2" t="s">
        <v>43</v>
      </c>
    </row>
    <row r="62" spans="1:23" x14ac:dyDescent="0.2">
      <c r="A62" s="3"/>
      <c r="B62" s="219"/>
      <c r="C62" s="17" t="s">
        <v>20</v>
      </c>
      <c r="D62" s="203">
        <v>44197</v>
      </c>
      <c r="E62" s="203">
        <v>45304</v>
      </c>
      <c r="F62" s="51">
        <v>0.60384413000000003</v>
      </c>
      <c r="G62" s="51">
        <v>0.79332619999999998</v>
      </c>
      <c r="H62" s="51">
        <f t="shared" si="1"/>
        <v>0.18948206999999995</v>
      </c>
      <c r="I62" s="213" t="s">
        <v>43</v>
      </c>
      <c r="J62" s="5" t="s">
        <v>43</v>
      </c>
      <c r="K62" s="88" t="str">
        <f t="shared" si="2"/>
        <v>T</v>
      </c>
      <c r="L62" s="19"/>
      <c r="O62" s="1"/>
      <c r="P62" s="1">
        <v>7</v>
      </c>
      <c r="Q62" s="2" t="s">
        <v>69</v>
      </c>
      <c r="R62" s="2">
        <v>63</v>
      </c>
      <c r="S62" s="14">
        <v>43892</v>
      </c>
      <c r="T62" s="14">
        <v>45475</v>
      </c>
      <c r="U62" s="2"/>
      <c r="V62" s="2"/>
      <c r="W62" s="2" t="s">
        <v>43</v>
      </c>
    </row>
    <row r="63" spans="1:23" x14ac:dyDescent="0.2">
      <c r="A63" s="3"/>
      <c r="B63" s="219"/>
      <c r="C63" s="17" t="s">
        <v>24</v>
      </c>
      <c r="D63" s="203">
        <v>44573</v>
      </c>
      <c r="E63" s="203">
        <v>45422</v>
      </c>
      <c r="F63" s="51">
        <v>0.27787857999999999</v>
      </c>
      <c r="G63" s="51">
        <v>0.28801080000000001</v>
      </c>
      <c r="H63" s="51">
        <f t="shared" si="1"/>
        <v>1.0132220000000025E-2</v>
      </c>
      <c r="I63" s="213" t="s">
        <v>43</v>
      </c>
      <c r="J63" s="5" t="s">
        <v>43</v>
      </c>
      <c r="K63" s="88" t="str">
        <f t="shared" si="2"/>
        <v>T</v>
      </c>
      <c r="L63" s="19"/>
      <c r="O63" s="1"/>
      <c r="P63" s="1">
        <v>8</v>
      </c>
      <c r="Q63" s="2" t="s">
        <v>72</v>
      </c>
      <c r="R63" s="2">
        <v>62</v>
      </c>
      <c r="S63" s="14">
        <v>43913</v>
      </c>
      <c r="T63" s="14">
        <v>45492</v>
      </c>
      <c r="U63" s="2"/>
      <c r="V63" s="2"/>
      <c r="W63" s="2" t="s">
        <v>43</v>
      </c>
    </row>
    <row r="64" spans="1:23" x14ac:dyDescent="0.2">
      <c r="A64" s="3"/>
      <c r="B64" s="219"/>
      <c r="C64" s="17" t="s">
        <v>25</v>
      </c>
      <c r="D64" s="203">
        <v>44578</v>
      </c>
      <c r="E64" s="203">
        <v>45334</v>
      </c>
      <c r="F64" s="51">
        <v>0.20859453999999999</v>
      </c>
      <c r="G64" s="51">
        <v>0.25077969999999999</v>
      </c>
      <c r="H64" s="51">
        <f t="shared" si="1"/>
        <v>4.2185159999999999E-2</v>
      </c>
      <c r="I64" s="213" t="s">
        <v>43</v>
      </c>
      <c r="J64" s="5" t="s">
        <v>43</v>
      </c>
      <c r="K64" s="88" t="str">
        <f t="shared" si="2"/>
        <v>T</v>
      </c>
      <c r="L64" s="19"/>
      <c r="O64" s="1"/>
      <c r="P64" s="1">
        <v>9</v>
      </c>
      <c r="Q64" s="2" t="s">
        <v>73</v>
      </c>
      <c r="R64" s="2">
        <v>62</v>
      </c>
      <c r="S64" s="14">
        <v>43893</v>
      </c>
      <c r="T64" s="14">
        <v>45490</v>
      </c>
      <c r="U64" s="2"/>
      <c r="V64" s="2"/>
      <c r="W64" s="2"/>
    </row>
    <row r="65" spans="1:23" x14ac:dyDescent="0.2">
      <c r="A65" s="3"/>
      <c r="B65" s="219"/>
      <c r="C65" s="17" t="s">
        <v>28</v>
      </c>
      <c r="D65" s="203">
        <v>44603</v>
      </c>
      <c r="E65" s="203">
        <v>45292</v>
      </c>
      <c r="F65" s="51">
        <v>0.27629132000000001</v>
      </c>
      <c r="G65" s="51">
        <v>0.42198170000000002</v>
      </c>
      <c r="H65" s="51">
        <f t="shared" si="1"/>
        <v>0.14569038000000001</v>
      </c>
      <c r="I65" s="213" t="s">
        <v>43</v>
      </c>
      <c r="J65" s="5" t="s">
        <v>43</v>
      </c>
      <c r="K65" s="88" t="str">
        <f t="shared" si="2"/>
        <v>T</v>
      </c>
      <c r="L65" s="19"/>
      <c r="O65" s="1"/>
      <c r="P65" s="1">
        <v>10</v>
      </c>
      <c r="Q65" s="2" t="s">
        <v>74</v>
      </c>
      <c r="R65" s="2">
        <v>51</v>
      </c>
      <c r="S65" s="14">
        <v>43983</v>
      </c>
      <c r="T65" s="14">
        <v>45361</v>
      </c>
      <c r="U65" s="2"/>
      <c r="V65" s="2"/>
      <c r="W65" s="2" t="s">
        <v>43</v>
      </c>
    </row>
    <row r="66" spans="1:23" x14ac:dyDescent="0.2">
      <c r="A66" s="3"/>
      <c r="B66" s="219"/>
      <c r="C66" s="17" t="s">
        <v>38</v>
      </c>
      <c r="D66" s="203">
        <v>44864</v>
      </c>
      <c r="E66" s="203">
        <v>45440</v>
      </c>
      <c r="F66" s="51">
        <v>0.25440678999999999</v>
      </c>
      <c r="G66" s="51">
        <v>0.44799</v>
      </c>
      <c r="H66" s="51">
        <f t="shared" si="1"/>
        <v>0.19358321000000001</v>
      </c>
      <c r="I66" s="213" t="s">
        <v>43</v>
      </c>
      <c r="J66" s="5" t="s">
        <v>43</v>
      </c>
      <c r="K66" s="88" t="str">
        <f t="shared" si="2"/>
        <v>T</v>
      </c>
      <c r="L66" s="19"/>
      <c r="O66" s="1"/>
      <c r="P66" s="1">
        <v>11</v>
      </c>
      <c r="Q66" s="2" t="s">
        <v>79</v>
      </c>
      <c r="R66" s="2">
        <v>55</v>
      </c>
      <c r="S66" s="14">
        <v>43899</v>
      </c>
      <c r="T66" s="14">
        <v>45474</v>
      </c>
      <c r="U66" s="2"/>
      <c r="V66" s="2"/>
      <c r="W66" s="2" t="s">
        <v>43</v>
      </c>
    </row>
    <row r="67" spans="1:23" x14ac:dyDescent="0.2">
      <c r="A67" s="3"/>
      <c r="B67" s="219"/>
      <c r="C67" s="17" t="s">
        <v>37</v>
      </c>
      <c r="D67" s="203">
        <v>44927</v>
      </c>
      <c r="E67" s="203">
        <v>45399</v>
      </c>
      <c r="F67" s="51">
        <v>0.21266371000000001</v>
      </c>
      <c r="G67" s="51">
        <v>0.35023019999999999</v>
      </c>
      <c r="H67" s="51">
        <f t="shared" si="1"/>
        <v>0.13756648999999999</v>
      </c>
      <c r="I67" s="213" t="s">
        <v>43</v>
      </c>
      <c r="J67" s="5" t="s">
        <v>43</v>
      </c>
      <c r="K67" s="88" t="str">
        <f t="shared" si="2"/>
        <v>T</v>
      </c>
      <c r="L67" s="19"/>
      <c r="O67" s="1"/>
      <c r="P67" s="1">
        <v>12</v>
      </c>
      <c r="Q67" s="2" t="s">
        <v>48</v>
      </c>
      <c r="R67" s="2">
        <v>36</v>
      </c>
      <c r="S67" s="14">
        <v>44235</v>
      </c>
      <c r="T67" s="14">
        <v>45342</v>
      </c>
      <c r="U67" s="2"/>
      <c r="V67" s="2"/>
      <c r="W67" s="2" t="s">
        <v>43</v>
      </c>
    </row>
    <row r="68" spans="1:23" x14ac:dyDescent="0.2">
      <c r="A68" s="3"/>
      <c r="B68" s="219"/>
      <c r="C68" s="17" t="s">
        <v>33</v>
      </c>
      <c r="D68" s="203">
        <v>45187</v>
      </c>
      <c r="E68" s="203">
        <v>45529</v>
      </c>
      <c r="F68" s="51">
        <v>0.17037035</v>
      </c>
      <c r="G68" s="51">
        <v>0.20920830000000001</v>
      </c>
      <c r="H68" s="51">
        <f t="shared" si="1"/>
        <v>3.883795000000001E-2</v>
      </c>
      <c r="I68" s="213" t="s">
        <v>43</v>
      </c>
      <c r="J68" s="5" t="s">
        <v>43</v>
      </c>
      <c r="K68" s="88" t="str">
        <f t="shared" si="2"/>
        <v>T</v>
      </c>
      <c r="L68" s="19"/>
      <c r="O68" s="1"/>
      <c r="P68" s="1">
        <v>13</v>
      </c>
      <c r="Q68" s="2" t="s">
        <v>82</v>
      </c>
      <c r="R68" s="2">
        <v>43</v>
      </c>
      <c r="S68" s="14">
        <v>43948</v>
      </c>
      <c r="T68" s="14">
        <v>45302</v>
      </c>
      <c r="U68" s="2"/>
      <c r="V68" s="2"/>
      <c r="W68" s="2" t="s">
        <v>43</v>
      </c>
    </row>
    <row r="69" spans="1:23" x14ac:dyDescent="0.2">
      <c r="A69" s="3"/>
      <c r="B69" s="219"/>
      <c r="C69" s="17" t="s">
        <v>32</v>
      </c>
      <c r="D69" s="203">
        <v>45190</v>
      </c>
      <c r="E69" s="203">
        <v>45528</v>
      </c>
      <c r="F69" s="51">
        <v>0.40071476</v>
      </c>
      <c r="G69" s="51">
        <v>0.68916379999999999</v>
      </c>
      <c r="H69" s="51">
        <f t="shared" si="1"/>
        <v>0.28844903999999999</v>
      </c>
      <c r="I69" s="213" t="s">
        <v>43</v>
      </c>
      <c r="J69" s="5" t="s">
        <v>43</v>
      </c>
      <c r="K69" s="88" t="str">
        <f t="shared" si="2"/>
        <v>T</v>
      </c>
      <c r="L69" s="19"/>
      <c r="O69" s="1"/>
      <c r="P69" s="1">
        <v>14</v>
      </c>
      <c r="Q69" s="2" t="s">
        <v>86</v>
      </c>
      <c r="R69" s="2">
        <v>56</v>
      </c>
      <c r="S69" s="14">
        <v>43890</v>
      </c>
      <c r="T69" s="14">
        <v>45312</v>
      </c>
      <c r="U69" s="2"/>
      <c r="V69" s="2"/>
      <c r="W69" s="2" t="s">
        <v>43</v>
      </c>
    </row>
    <row r="70" spans="1:23" x14ac:dyDescent="0.2">
      <c r="A70" s="3"/>
      <c r="B70" s="221"/>
      <c r="C70" s="115" t="s">
        <v>406</v>
      </c>
      <c r="D70" s="202">
        <v>43892</v>
      </c>
      <c r="E70" s="202">
        <v>45483</v>
      </c>
      <c r="F70" s="117" t="s">
        <v>57</v>
      </c>
      <c r="G70" s="117" t="s">
        <v>57</v>
      </c>
      <c r="H70" s="117" t="s">
        <v>57</v>
      </c>
      <c r="I70" s="214" t="s">
        <v>57</v>
      </c>
      <c r="J70" s="214" t="s">
        <v>57</v>
      </c>
      <c r="K70" s="214" t="s">
        <v>57</v>
      </c>
      <c r="L70" s="19"/>
      <c r="O70" s="1"/>
      <c r="P70" s="1">
        <v>15</v>
      </c>
      <c r="Q70" s="2" t="s">
        <v>87</v>
      </c>
      <c r="R70" s="2">
        <v>28</v>
      </c>
      <c r="S70" s="14">
        <v>44194</v>
      </c>
      <c r="T70" s="14">
        <v>45261</v>
      </c>
      <c r="U70" s="2"/>
      <c r="V70" s="2"/>
      <c r="W70" s="2"/>
    </row>
    <row r="71" spans="1:23" x14ac:dyDescent="0.2">
      <c r="A71" s="3"/>
      <c r="B71" s="218" t="s">
        <v>63</v>
      </c>
      <c r="C71" s="17" t="s">
        <v>15</v>
      </c>
      <c r="D71" s="203">
        <v>43899</v>
      </c>
      <c r="E71" s="203">
        <v>45022</v>
      </c>
      <c r="F71" s="51">
        <v>0.23259442</v>
      </c>
      <c r="G71" s="51">
        <v>0.61054419999999998</v>
      </c>
      <c r="H71" s="51">
        <f t="shared" si="1"/>
        <v>0.37794978000000001</v>
      </c>
      <c r="I71" s="213" t="s">
        <v>45</v>
      </c>
      <c r="J71" s="5" t="s">
        <v>43</v>
      </c>
      <c r="K71" s="88" t="str">
        <f t="shared" si="2"/>
        <v>F</v>
      </c>
      <c r="L71" s="19"/>
      <c r="O71" s="1"/>
      <c r="P71" s="2"/>
      <c r="Q71" s="2"/>
      <c r="R71" s="14"/>
      <c r="S71" s="14"/>
      <c r="T71" s="2"/>
      <c r="U71" s="2"/>
      <c r="V71" s="2"/>
      <c r="W71" s="2" t="s">
        <v>43</v>
      </c>
    </row>
    <row r="72" spans="1:23" x14ac:dyDescent="0.2">
      <c r="A72" s="3"/>
      <c r="B72" s="219"/>
      <c r="C72" s="17" t="s">
        <v>382</v>
      </c>
      <c r="D72" s="203">
        <v>43904</v>
      </c>
      <c r="E72" s="203">
        <v>44624</v>
      </c>
      <c r="F72" s="51">
        <v>0.15131144999999999</v>
      </c>
      <c r="G72" s="51">
        <v>0.32727230000000002</v>
      </c>
      <c r="H72" s="51">
        <f t="shared" si="1"/>
        <v>0.17596085000000003</v>
      </c>
      <c r="I72" s="213" t="s">
        <v>45</v>
      </c>
      <c r="J72" s="5" t="s">
        <v>43</v>
      </c>
      <c r="K72" s="88" t="str">
        <f t="shared" si="2"/>
        <v>F</v>
      </c>
      <c r="L72" s="19"/>
      <c r="O72" s="1"/>
      <c r="P72" s="2"/>
      <c r="Q72" s="2"/>
      <c r="R72" s="14"/>
      <c r="S72" s="14"/>
      <c r="T72" s="2"/>
      <c r="U72" s="2"/>
      <c r="V72" s="2"/>
      <c r="W72" s="2"/>
    </row>
    <row r="73" spans="1:23" x14ac:dyDescent="0.2">
      <c r="A73" s="3"/>
      <c r="B73" s="219"/>
      <c r="C73" s="17" t="s">
        <v>36</v>
      </c>
      <c r="D73" s="203">
        <v>43905</v>
      </c>
      <c r="E73" s="203">
        <v>44741</v>
      </c>
      <c r="F73" s="51">
        <v>0.65433593000000001</v>
      </c>
      <c r="G73" s="51">
        <v>0.94725999999999999</v>
      </c>
      <c r="H73" s="51">
        <f t="shared" si="1"/>
        <v>0.29292406999999998</v>
      </c>
      <c r="I73" s="213" t="s">
        <v>43</v>
      </c>
      <c r="J73" s="5" t="s">
        <v>43</v>
      </c>
      <c r="K73" s="88" t="str">
        <f t="shared" si="2"/>
        <v>T</v>
      </c>
      <c r="L73" s="19"/>
      <c r="O73" s="1"/>
      <c r="P73" s="2"/>
      <c r="Q73" s="2"/>
      <c r="R73" s="14"/>
      <c r="S73" s="14"/>
      <c r="T73" s="2"/>
      <c r="U73" s="2"/>
      <c r="V73" s="2"/>
      <c r="W73" s="2" t="s">
        <v>43</v>
      </c>
    </row>
    <row r="74" spans="1:23" x14ac:dyDescent="0.2">
      <c r="A74" s="3"/>
      <c r="B74" s="219"/>
      <c r="C74" s="17" t="s">
        <v>383</v>
      </c>
      <c r="D74" s="203">
        <v>43908</v>
      </c>
      <c r="E74" s="203">
        <v>44099</v>
      </c>
      <c r="F74" s="51">
        <v>0.32512189000000002</v>
      </c>
      <c r="G74" s="51">
        <v>0.7228658</v>
      </c>
      <c r="H74" s="51">
        <f t="shared" si="1"/>
        <v>0.39774390999999998</v>
      </c>
      <c r="I74" s="213" t="s">
        <v>45</v>
      </c>
      <c r="J74" s="5" t="s">
        <v>45</v>
      </c>
      <c r="K74" s="88" t="str">
        <f t="shared" si="2"/>
        <v>T</v>
      </c>
      <c r="L74" s="19"/>
      <c r="O74" s="1"/>
      <c r="P74" s="2"/>
      <c r="Q74" s="2"/>
      <c r="R74" s="14"/>
      <c r="S74" s="14"/>
      <c r="T74" s="2"/>
      <c r="U74" s="2"/>
      <c r="V74" s="2"/>
      <c r="W74" s="2"/>
    </row>
    <row r="75" spans="1:23" x14ac:dyDescent="0.2">
      <c r="A75" s="3"/>
      <c r="B75" s="219"/>
      <c r="C75" s="17" t="s">
        <v>10</v>
      </c>
      <c r="D75" s="203">
        <v>43962</v>
      </c>
      <c r="E75" s="203">
        <v>44798</v>
      </c>
      <c r="F75" s="51">
        <v>0.24398097999999999</v>
      </c>
      <c r="G75" s="51">
        <v>0.25953799999999999</v>
      </c>
      <c r="H75" s="51">
        <f t="shared" si="1"/>
        <v>1.5557020000000005E-2</v>
      </c>
      <c r="I75" s="213" t="s">
        <v>43</v>
      </c>
      <c r="J75" s="5" t="s">
        <v>43</v>
      </c>
      <c r="K75" s="88" t="str">
        <f t="shared" si="2"/>
        <v>T</v>
      </c>
      <c r="L75" s="19"/>
      <c r="O75" s="1"/>
      <c r="P75" s="2"/>
      <c r="Q75" s="2"/>
      <c r="R75" s="14"/>
      <c r="S75" s="14"/>
      <c r="T75" s="2"/>
      <c r="U75" s="2"/>
      <c r="V75" s="2"/>
      <c r="W75" s="2" t="s">
        <v>43</v>
      </c>
    </row>
    <row r="76" spans="1:23" x14ac:dyDescent="0.2">
      <c r="A76" s="3"/>
      <c r="B76" s="219"/>
      <c r="C76" s="17" t="s">
        <v>14</v>
      </c>
      <c r="D76" s="203">
        <v>43962</v>
      </c>
      <c r="E76" s="203">
        <v>44713</v>
      </c>
      <c r="F76" s="51">
        <v>0.23114211000000001</v>
      </c>
      <c r="G76" s="51">
        <v>0.23825830000000001</v>
      </c>
      <c r="H76" s="51">
        <f t="shared" si="1"/>
        <v>7.1161899999999945E-3</v>
      </c>
      <c r="I76" s="213" t="s">
        <v>43</v>
      </c>
      <c r="J76" s="5" t="s">
        <v>43</v>
      </c>
      <c r="K76" s="88" t="str">
        <f t="shared" si="2"/>
        <v>T</v>
      </c>
      <c r="L76" s="19"/>
      <c r="O76" s="1"/>
      <c r="P76" s="2"/>
      <c r="Q76" s="2"/>
      <c r="R76" s="14"/>
      <c r="S76" s="14"/>
      <c r="T76" s="2"/>
      <c r="U76" s="2"/>
      <c r="V76" s="2"/>
      <c r="W76" s="2" t="s">
        <v>43</v>
      </c>
    </row>
    <row r="77" spans="1:23" x14ac:dyDescent="0.2">
      <c r="A77" s="3"/>
      <c r="B77" s="219"/>
      <c r="C77" s="17" t="s">
        <v>18</v>
      </c>
      <c r="D77" s="203">
        <v>44316</v>
      </c>
      <c r="E77" s="203">
        <v>45069</v>
      </c>
      <c r="F77" s="51">
        <v>0.38169194000000001</v>
      </c>
      <c r="G77" s="51">
        <v>0.45609569999999999</v>
      </c>
      <c r="H77" s="51">
        <f t="shared" si="1"/>
        <v>7.4403759999999985E-2</v>
      </c>
      <c r="I77" s="213" t="s">
        <v>43</v>
      </c>
      <c r="J77" s="5" t="s">
        <v>43</v>
      </c>
      <c r="K77" s="88" t="str">
        <f t="shared" si="2"/>
        <v>T</v>
      </c>
      <c r="L77" s="19"/>
      <c r="O77" s="1"/>
      <c r="P77" s="2"/>
      <c r="Q77" s="2"/>
      <c r="R77" s="14"/>
      <c r="S77" s="14"/>
      <c r="T77" s="2"/>
      <c r="U77" s="2"/>
      <c r="V77" s="2"/>
      <c r="W77" s="2"/>
    </row>
    <row r="78" spans="1:23" x14ac:dyDescent="0.2">
      <c r="A78" s="3"/>
      <c r="B78" s="219"/>
      <c r="C78" s="17" t="s">
        <v>20</v>
      </c>
      <c r="D78" s="203">
        <v>44316</v>
      </c>
      <c r="E78" s="203">
        <v>45314</v>
      </c>
      <c r="F78" s="51">
        <v>0.54379533999999996</v>
      </c>
      <c r="G78" s="51">
        <v>0.77683259999999998</v>
      </c>
      <c r="H78" s="51">
        <f t="shared" si="1"/>
        <v>0.23303726000000002</v>
      </c>
      <c r="I78" s="213" t="s">
        <v>43</v>
      </c>
      <c r="J78" s="5" t="s">
        <v>43</v>
      </c>
      <c r="K78" s="88" t="str">
        <f t="shared" si="2"/>
        <v>T</v>
      </c>
      <c r="L78" s="19"/>
      <c r="O78" s="1"/>
      <c r="P78" s="2"/>
      <c r="Q78" s="2"/>
      <c r="R78" s="14"/>
      <c r="S78" s="14"/>
      <c r="T78" s="2"/>
      <c r="U78" s="2"/>
      <c r="V78" s="2"/>
      <c r="W78" s="2" t="s">
        <v>43</v>
      </c>
    </row>
    <row r="79" spans="1:23" x14ac:dyDescent="0.2">
      <c r="A79" s="3"/>
      <c r="B79" s="219"/>
      <c r="C79" s="17" t="s">
        <v>25</v>
      </c>
      <c r="D79" s="203">
        <v>44652</v>
      </c>
      <c r="E79" s="203">
        <v>45022</v>
      </c>
      <c r="F79" s="51">
        <v>0.23695756000000001</v>
      </c>
      <c r="G79" s="51">
        <v>0.27543699999999999</v>
      </c>
      <c r="H79" s="51">
        <f t="shared" si="1"/>
        <v>3.8479439999999976E-2</v>
      </c>
      <c r="I79" s="213" t="s">
        <v>43</v>
      </c>
      <c r="J79" s="5" t="s">
        <v>43</v>
      </c>
      <c r="K79" s="88" t="str">
        <f t="shared" si="2"/>
        <v>T</v>
      </c>
      <c r="L79" s="19"/>
      <c r="O79" s="1"/>
      <c r="P79" s="2"/>
      <c r="Q79" s="2"/>
      <c r="R79" s="14"/>
      <c r="S79" s="14"/>
      <c r="T79" s="2"/>
      <c r="U79" s="2"/>
      <c r="V79" s="2"/>
      <c r="W79" s="2" t="s">
        <v>43</v>
      </c>
    </row>
    <row r="80" spans="1:23" x14ac:dyDescent="0.2">
      <c r="A80" s="3"/>
      <c r="B80" s="219"/>
      <c r="C80" s="17" t="s">
        <v>24</v>
      </c>
      <c r="D80" s="203">
        <v>44658</v>
      </c>
      <c r="E80" s="203">
        <v>45091</v>
      </c>
      <c r="F80" s="51">
        <v>0.26670577000000001</v>
      </c>
      <c r="G80" s="51">
        <v>0.2626713</v>
      </c>
      <c r="H80" s="51">
        <f t="shared" si="1"/>
        <v>-4.0344700000000122E-3</v>
      </c>
      <c r="I80" s="213" t="s">
        <v>43</v>
      </c>
      <c r="J80" s="5" t="s">
        <v>43</v>
      </c>
      <c r="K80" s="88" t="str">
        <f t="shared" si="2"/>
        <v>T</v>
      </c>
      <c r="L80" s="19"/>
      <c r="O80" s="1"/>
      <c r="P80" s="2"/>
      <c r="Q80" s="2"/>
      <c r="R80" s="14"/>
      <c r="S80" s="14"/>
      <c r="T80" s="2"/>
      <c r="U80" s="2"/>
      <c r="V80" s="2"/>
      <c r="W80" s="2" t="s">
        <v>43</v>
      </c>
    </row>
    <row r="81" spans="1:23" x14ac:dyDescent="0.2">
      <c r="A81" s="3"/>
      <c r="B81" s="219"/>
      <c r="C81" s="17" t="s">
        <v>384</v>
      </c>
      <c r="D81" s="203">
        <v>44658</v>
      </c>
      <c r="E81" s="203">
        <v>45308</v>
      </c>
      <c r="F81" s="51">
        <v>0.20484817999999999</v>
      </c>
      <c r="G81" s="51">
        <v>0.23587920000000001</v>
      </c>
      <c r="H81" s="51">
        <f t="shared" si="1"/>
        <v>3.103102000000002E-2</v>
      </c>
      <c r="I81" s="213" t="s">
        <v>43</v>
      </c>
      <c r="J81" s="5" t="s">
        <v>43</v>
      </c>
      <c r="K81" s="88" t="str">
        <f t="shared" si="2"/>
        <v>T</v>
      </c>
      <c r="L81" s="19"/>
      <c r="O81" s="1"/>
      <c r="P81" s="2"/>
      <c r="Q81" s="2"/>
      <c r="R81" s="14"/>
      <c r="S81" s="14"/>
      <c r="T81" s="2"/>
      <c r="U81" s="2"/>
      <c r="V81" s="2"/>
      <c r="W81" s="2" t="s">
        <v>43</v>
      </c>
    </row>
    <row r="82" spans="1:23" x14ac:dyDescent="0.2">
      <c r="A82" s="3"/>
      <c r="B82" s="219"/>
      <c r="C82" s="17" t="s">
        <v>385</v>
      </c>
      <c r="D82" s="203">
        <v>44725</v>
      </c>
      <c r="E82" s="203">
        <v>45073</v>
      </c>
      <c r="F82" s="51">
        <v>0.12380437</v>
      </c>
      <c r="G82" s="51">
        <v>0.21063470000000001</v>
      </c>
      <c r="H82" s="51">
        <f t="shared" si="1"/>
        <v>8.6830330000000011E-2</v>
      </c>
      <c r="I82" s="213" t="s">
        <v>43</v>
      </c>
      <c r="J82" s="5" t="s">
        <v>43</v>
      </c>
      <c r="K82" s="88" t="str">
        <f t="shared" si="2"/>
        <v>T</v>
      </c>
      <c r="L82" s="19"/>
      <c r="O82" s="1"/>
      <c r="P82" s="2"/>
      <c r="Q82" s="2"/>
      <c r="R82" s="14"/>
      <c r="S82" s="14"/>
      <c r="T82" s="2"/>
      <c r="U82" s="2"/>
      <c r="V82" s="2"/>
      <c r="W82" s="2" t="s">
        <v>43</v>
      </c>
    </row>
    <row r="83" spans="1:23" x14ac:dyDescent="0.2">
      <c r="A83" s="3"/>
      <c r="B83" s="219"/>
      <c r="C83" s="17" t="s">
        <v>28</v>
      </c>
      <c r="D83" s="203">
        <v>44797</v>
      </c>
      <c r="E83" s="203">
        <v>45117</v>
      </c>
      <c r="F83" s="51">
        <v>0.24237784000000001</v>
      </c>
      <c r="G83" s="51">
        <v>0.31191849999999999</v>
      </c>
      <c r="H83" s="51">
        <f t="shared" si="1"/>
        <v>6.9540659999999976E-2</v>
      </c>
      <c r="I83" s="213" t="s">
        <v>43</v>
      </c>
      <c r="J83" s="5" t="s">
        <v>43</v>
      </c>
      <c r="K83" s="88" t="str">
        <f t="shared" si="2"/>
        <v>T</v>
      </c>
      <c r="L83" s="19"/>
      <c r="O83" s="1"/>
      <c r="P83" s="2"/>
      <c r="Q83" s="2"/>
      <c r="R83" s="14"/>
      <c r="S83" s="14"/>
      <c r="T83" s="2"/>
      <c r="U83" s="2"/>
      <c r="V83" s="2"/>
      <c r="W83" s="2" t="s">
        <v>43</v>
      </c>
    </row>
    <row r="84" spans="1:23" x14ac:dyDescent="0.2">
      <c r="A84" s="3"/>
      <c r="B84" s="219"/>
      <c r="C84" s="17" t="s">
        <v>38</v>
      </c>
      <c r="D84" s="203">
        <v>44869</v>
      </c>
      <c r="E84" s="203">
        <v>45266</v>
      </c>
      <c r="F84" s="51">
        <v>0.33646021999999998</v>
      </c>
      <c r="G84" s="51">
        <v>0.4952491</v>
      </c>
      <c r="H84" s="51">
        <f t="shared" si="1"/>
        <v>0.15878888000000002</v>
      </c>
      <c r="I84" s="213" t="s">
        <v>43</v>
      </c>
      <c r="J84" s="5" t="s">
        <v>43</v>
      </c>
      <c r="K84" s="88" t="str">
        <f t="shared" si="2"/>
        <v>T</v>
      </c>
      <c r="L84" s="19"/>
      <c r="O84" s="1"/>
      <c r="P84" s="2"/>
      <c r="Q84" s="2"/>
      <c r="R84" s="14"/>
      <c r="S84" s="14"/>
      <c r="T84" s="2"/>
      <c r="U84" s="2"/>
      <c r="V84" s="2"/>
      <c r="W84" s="2" t="s">
        <v>43</v>
      </c>
    </row>
    <row r="85" spans="1:23" x14ac:dyDescent="0.2">
      <c r="A85" s="3"/>
      <c r="B85" s="219"/>
      <c r="C85" s="17" t="s">
        <v>29</v>
      </c>
      <c r="D85" s="203">
        <v>45015</v>
      </c>
      <c r="E85" s="203">
        <v>45306</v>
      </c>
      <c r="F85" s="51">
        <v>0.40579346999999999</v>
      </c>
      <c r="G85" s="51">
        <v>0.59710569999999996</v>
      </c>
      <c r="H85" s="51">
        <f t="shared" si="1"/>
        <v>0.19131222999999997</v>
      </c>
      <c r="I85" s="213" t="s">
        <v>43</v>
      </c>
      <c r="J85" s="5" t="s">
        <v>43</v>
      </c>
      <c r="K85" s="88" t="str">
        <f t="shared" si="2"/>
        <v>T</v>
      </c>
      <c r="L85" s="19"/>
      <c r="O85" s="1"/>
      <c r="P85" s="2"/>
      <c r="Q85" s="2"/>
      <c r="R85" s="14"/>
      <c r="S85" s="14"/>
      <c r="T85" s="2"/>
      <c r="U85" s="2"/>
      <c r="V85" s="2"/>
      <c r="W85" s="2" t="s">
        <v>43</v>
      </c>
    </row>
    <row r="86" spans="1:23" x14ac:dyDescent="0.2">
      <c r="A86" s="3"/>
      <c r="B86" s="221"/>
      <c r="C86" s="115" t="s">
        <v>407</v>
      </c>
      <c r="D86" s="202">
        <v>43899</v>
      </c>
      <c r="E86" s="202">
        <v>45292</v>
      </c>
      <c r="F86" s="117" t="s">
        <v>57</v>
      </c>
      <c r="G86" s="117" t="s">
        <v>57</v>
      </c>
      <c r="H86" s="117" t="s">
        <v>57</v>
      </c>
      <c r="I86" s="214" t="s">
        <v>57</v>
      </c>
      <c r="J86" s="214" t="s">
        <v>57</v>
      </c>
      <c r="K86" s="214" t="s">
        <v>57</v>
      </c>
      <c r="L86" s="19"/>
      <c r="O86" s="1"/>
      <c r="P86" s="2"/>
      <c r="Q86" s="2"/>
      <c r="R86" s="14"/>
      <c r="S86" s="14"/>
      <c r="T86" s="2"/>
      <c r="U86" s="2"/>
      <c r="V86" s="2"/>
      <c r="W86" s="2"/>
    </row>
    <row r="87" spans="1:23" x14ac:dyDescent="0.2">
      <c r="A87" s="3"/>
      <c r="B87" s="218" t="s">
        <v>64</v>
      </c>
      <c r="C87" s="17" t="s">
        <v>65</v>
      </c>
      <c r="D87" s="203">
        <v>43966</v>
      </c>
      <c r="E87" s="203">
        <v>44406</v>
      </c>
      <c r="F87" s="51">
        <v>0.4719315</v>
      </c>
      <c r="G87" s="51">
        <v>0.80515809999999999</v>
      </c>
      <c r="H87" s="51">
        <f t="shared" si="1"/>
        <v>0.33322659999999998</v>
      </c>
      <c r="I87" s="213" t="s">
        <v>43</v>
      </c>
      <c r="J87" s="5" t="s">
        <v>43</v>
      </c>
      <c r="K87" s="88" t="str">
        <f t="shared" si="2"/>
        <v>T</v>
      </c>
      <c r="L87" s="19"/>
      <c r="O87" s="1"/>
      <c r="P87" s="2"/>
      <c r="Q87" s="2"/>
      <c r="R87" s="14"/>
      <c r="S87" s="14"/>
      <c r="T87" s="2"/>
      <c r="U87" s="2"/>
      <c r="V87" s="2"/>
      <c r="W87" s="2" t="s">
        <v>43</v>
      </c>
    </row>
    <row r="88" spans="1:23" x14ac:dyDescent="0.2">
      <c r="A88" s="3"/>
      <c r="B88" s="219"/>
      <c r="C88" s="17" t="s">
        <v>25</v>
      </c>
      <c r="D88" s="203">
        <v>44058</v>
      </c>
      <c r="E88" s="203">
        <v>45296</v>
      </c>
      <c r="F88" s="51">
        <v>0.17345418000000001</v>
      </c>
      <c r="G88" s="51">
        <v>0.35130790000000001</v>
      </c>
      <c r="H88" s="51">
        <f t="shared" si="1"/>
        <v>0.17785371999999999</v>
      </c>
      <c r="I88" s="213" t="s">
        <v>45</v>
      </c>
      <c r="J88" s="5" t="s">
        <v>43</v>
      </c>
      <c r="K88" s="88" t="str">
        <f t="shared" si="2"/>
        <v>F</v>
      </c>
      <c r="L88" s="19"/>
      <c r="O88" s="1"/>
      <c r="P88" s="2"/>
      <c r="Q88" s="2"/>
      <c r="R88" s="14"/>
      <c r="S88" s="14"/>
      <c r="T88" s="2"/>
      <c r="U88" s="2"/>
      <c r="V88" s="2"/>
      <c r="W88" s="2" t="s">
        <v>43</v>
      </c>
    </row>
    <row r="89" spans="1:23" x14ac:dyDescent="0.2">
      <c r="A89" s="3"/>
      <c r="B89" s="219"/>
      <c r="C89" s="17" t="s">
        <v>26</v>
      </c>
      <c r="D89" s="203">
        <v>44058</v>
      </c>
      <c r="E89" s="203">
        <v>45250</v>
      </c>
      <c r="F89" s="51">
        <v>0.22181712000000001</v>
      </c>
      <c r="G89" s="51">
        <v>0.2070816</v>
      </c>
      <c r="H89" s="51">
        <f t="shared" si="1"/>
        <v>-1.4735520000000002E-2</v>
      </c>
      <c r="I89" s="213" t="s">
        <v>43</v>
      </c>
      <c r="J89" s="5" t="s">
        <v>43</v>
      </c>
      <c r="K89" s="88" t="str">
        <f t="shared" si="2"/>
        <v>T</v>
      </c>
      <c r="L89" s="19"/>
      <c r="O89" s="1"/>
      <c r="P89" s="2"/>
      <c r="Q89" s="2"/>
      <c r="R89" s="14"/>
      <c r="S89" s="14"/>
      <c r="T89" s="2"/>
      <c r="U89" s="2"/>
      <c r="V89" s="2"/>
      <c r="W89" s="2"/>
    </row>
    <row r="90" spans="1:23" x14ac:dyDescent="0.2">
      <c r="A90" s="3"/>
      <c r="B90" s="219"/>
      <c r="C90" s="17" t="s">
        <v>371</v>
      </c>
      <c r="D90" s="203">
        <v>44058</v>
      </c>
      <c r="E90" s="203">
        <v>45288</v>
      </c>
      <c r="F90" s="51">
        <v>0.19346084</v>
      </c>
      <c r="G90" s="51">
        <v>0.32088159999999999</v>
      </c>
      <c r="H90" s="51">
        <f t="shared" si="1"/>
        <v>0.12742075999999999</v>
      </c>
      <c r="I90" s="213" t="s">
        <v>43</v>
      </c>
      <c r="J90" s="5" t="s">
        <v>43</v>
      </c>
      <c r="K90" s="88" t="str">
        <f t="shared" si="2"/>
        <v>T</v>
      </c>
      <c r="L90" s="19"/>
      <c r="O90" s="1"/>
      <c r="P90" s="2"/>
      <c r="Q90" s="2"/>
      <c r="R90" s="14"/>
      <c r="S90" s="14"/>
      <c r="T90" s="2"/>
      <c r="U90" s="2"/>
      <c r="V90" s="2"/>
      <c r="W90" s="2"/>
    </row>
    <row r="91" spans="1:23" x14ac:dyDescent="0.2">
      <c r="A91" s="3"/>
      <c r="B91" s="219"/>
      <c r="C91" s="17" t="s">
        <v>36</v>
      </c>
      <c r="D91" s="203">
        <v>44106</v>
      </c>
      <c r="E91" s="203">
        <v>44470</v>
      </c>
      <c r="F91" s="51">
        <v>0.62713447</v>
      </c>
      <c r="G91" s="51">
        <v>0.92941810000000002</v>
      </c>
      <c r="H91" s="51">
        <f t="shared" si="1"/>
        <v>0.30228363000000003</v>
      </c>
      <c r="I91" s="213" t="s">
        <v>43</v>
      </c>
      <c r="J91" s="5" t="s">
        <v>43</v>
      </c>
      <c r="K91" s="88" t="str">
        <f t="shared" si="2"/>
        <v>T</v>
      </c>
      <c r="L91" s="19"/>
      <c r="O91" s="1"/>
      <c r="P91" s="2"/>
      <c r="Q91" s="2"/>
      <c r="R91" s="14"/>
      <c r="S91" s="14"/>
      <c r="T91" s="2"/>
      <c r="U91" s="2"/>
      <c r="V91" s="2"/>
      <c r="W91" s="2" t="s">
        <v>43</v>
      </c>
    </row>
    <row r="92" spans="1:23" x14ac:dyDescent="0.2">
      <c r="A92" s="3"/>
      <c r="B92" s="219"/>
      <c r="C92" s="17" t="s">
        <v>168</v>
      </c>
      <c r="D92" s="203">
        <v>44165</v>
      </c>
      <c r="E92" s="203">
        <v>44453</v>
      </c>
      <c r="F92" s="51">
        <v>0.22514292999999999</v>
      </c>
      <c r="G92" s="51">
        <v>0.45913949999999998</v>
      </c>
      <c r="H92" s="51">
        <f t="shared" si="1"/>
        <v>0.23399656999999999</v>
      </c>
      <c r="I92" s="213" t="s">
        <v>43</v>
      </c>
      <c r="J92" s="5" t="s">
        <v>43</v>
      </c>
      <c r="K92" s="88" t="str">
        <f t="shared" si="2"/>
        <v>T</v>
      </c>
      <c r="L92" s="19"/>
      <c r="O92" s="1"/>
      <c r="P92" s="2"/>
      <c r="Q92" s="2"/>
      <c r="R92" s="14"/>
      <c r="S92" s="14"/>
      <c r="T92" s="2"/>
      <c r="U92" s="2"/>
      <c r="V92" s="2"/>
      <c r="W92" s="2" t="s">
        <v>43</v>
      </c>
    </row>
    <row r="93" spans="1:23" x14ac:dyDescent="0.2">
      <c r="A93" s="3"/>
      <c r="B93" s="219"/>
      <c r="C93" s="17" t="s">
        <v>169</v>
      </c>
      <c r="D93" s="203">
        <v>44202</v>
      </c>
      <c r="E93" s="203">
        <v>45029</v>
      </c>
      <c r="F93" s="51">
        <v>0.29870136000000003</v>
      </c>
      <c r="G93" s="51">
        <v>0.70719030000000005</v>
      </c>
      <c r="H93" s="51">
        <f t="shared" si="1"/>
        <v>0.40848894000000002</v>
      </c>
      <c r="I93" s="213" t="s">
        <v>45</v>
      </c>
      <c r="J93" s="5" t="s">
        <v>43</v>
      </c>
      <c r="K93" s="88" t="str">
        <f t="shared" si="2"/>
        <v>F</v>
      </c>
      <c r="L93" s="19"/>
      <c r="O93" s="1"/>
      <c r="P93" s="2"/>
      <c r="Q93" s="2"/>
      <c r="R93" s="14"/>
      <c r="S93" s="14"/>
      <c r="T93" s="2"/>
      <c r="U93" s="2"/>
      <c r="V93" s="2"/>
      <c r="W93" s="2" t="s">
        <v>43</v>
      </c>
    </row>
    <row r="94" spans="1:23" x14ac:dyDescent="0.2">
      <c r="A94" s="3"/>
      <c r="B94" s="219"/>
      <c r="C94" s="17" t="s">
        <v>66</v>
      </c>
      <c r="D94" s="203">
        <v>44224</v>
      </c>
      <c r="E94" s="203">
        <v>45236</v>
      </c>
      <c r="F94" s="51">
        <v>0.61841807999999998</v>
      </c>
      <c r="G94" s="51">
        <v>0.91219479999999997</v>
      </c>
      <c r="H94" s="51">
        <f t="shared" si="1"/>
        <v>0.29377671999999999</v>
      </c>
      <c r="I94" s="213" t="s">
        <v>43</v>
      </c>
      <c r="J94" s="5" t="s">
        <v>43</v>
      </c>
      <c r="K94" s="88" t="str">
        <f t="shared" si="2"/>
        <v>T</v>
      </c>
      <c r="L94" s="19"/>
      <c r="O94" s="1"/>
      <c r="P94" s="2"/>
      <c r="Q94" s="2"/>
      <c r="R94" s="14"/>
      <c r="S94" s="14"/>
      <c r="T94" s="2"/>
      <c r="U94" s="2"/>
      <c r="V94" s="2"/>
      <c r="W94" s="2" t="s">
        <v>43</v>
      </c>
    </row>
    <row r="95" spans="1:23" x14ac:dyDescent="0.2">
      <c r="A95" s="3"/>
      <c r="B95" s="219"/>
      <c r="C95" s="17" t="s">
        <v>372</v>
      </c>
      <c r="D95" s="203">
        <v>44412</v>
      </c>
      <c r="E95" s="203">
        <v>44634</v>
      </c>
      <c r="F95" s="51">
        <v>0.16193371000000001</v>
      </c>
      <c r="G95" s="51">
        <v>0.30452659999999998</v>
      </c>
      <c r="H95" s="51">
        <f t="shared" si="1"/>
        <v>0.14259288999999997</v>
      </c>
      <c r="I95" s="213" t="s">
        <v>45</v>
      </c>
      <c r="J95" s="5" t="s">
        <v>45</v>
      </c>
      <c r="K95" s="88" t="str">
        <f t="shared" si="2"/>
        <v>T</v>
      </c>
      <c r="L95" s="19"/>
      <c r="O95" s="1"/>
      <c r="P95" s="2"/>
      <c r="Q95" s="2"/>
      <c r="R95" s="14"/>
      <c r="S95" s="14"/>
      <c r="T95" s="2"/>
      <c r="U95" s="2"/>
      <c r="V95" s="2"/>
      <c r="W95" s="2" t="s">
        <v>43</v>
      </c>
    </row>
    <row r="96" spans="1:23" x14ac:dyDescent="0.2">
      <c r="A96" s="3"/>
      <c r="B96" s="219"/>
      <c r="C96" s="17" t="s">
        <v>20</v>
      </c>
      <c r="D96" s="203">
        <v>44560</v>
      </c>
      <c r="E96" s="203">
        <v>45521</v>
      </c>
      <c r="F96" s="51">
        <v>0.12718670000000001</v>
      </c>
      <c r="G96" s="51">
        <v>0.21824940000000001</v>
      </c>
      <c r="H96" s="51">
        <f t="shared" si="1"/>
        <v>9.1062699999999996E-2</v>
      </c>
      <c r="I96" s="213" t="s">
        <v>45</v>
      </c>
      <c r="J96" s="5" t="s">
        <v>43</v>
      </c>
      <c r="K96" s="88" t="str">
        <f t="shared" si="2"/>
        <v>F</v>
      </c>
      <c r="L96" s="19"/>
      <c r="O96" s="1"/>
      <c r="P96" s="2"/>
      <c r="Q96" s="2"/>
      <c r="R96" s="14"/>
      <c r="S96" s="14"/>
      <c r="T96" s="2"/>
      <c r="U96" s="2"/>
      <c r="V96" s="2"/>
      <c r="W96" s="2" t="s">
        <v>43</v>
      </c>
    </row>
    <row r="97" spans="1:23" x14ac:dyDescent="0.2">
      <c r="A97" s="3"/>
      <c r="B97" s="219"/>
      <c r="C97" s="17" t="s">
        <v>373</v>
      </c>
      <c r="D97" s="203">
        <v>44569</v>
      </c>
      <c r="E97" s="203">
        <v>45071</v>
      </c>
      <c r="F97" s="51">
        <v>0.16830068000000001</v>
      </c>
      <c r="G97" s="51">
        <v>0.21047179999999999</v>
      </c>
      <c r="H97" s="51">
        <f t="shared" si="1"/>
        <v>4.2171119999999979E-2</v>
      </c>
      <c r="I97" s="213" t="s">
        <v>43</v>
      </c>
      <c r="J97" s="5" t="s">
        <v>43</v>
      </c>
      <c r="K97" s="88" t="str">
        <f t="shared" si="2"/>
        <v>T</v>
      </c>
      <c r="L97" s="19"/>
      <c r="O97" s="1"/>
      <c r="P97" s="2"/>
      <c r="Q97" s="2"/>
      <c r="R97" s="14"/>
      <c r="S97" s="14"/>
      <c r="T97" s="2"/>
      <c r="U97" s="2"/>
      <c r="V97" s="2"/>
      <c r="W97" s="2" t="s">
        <v>43</v>
      </c>
    </row>
    <row r="98" spans="1:23" x14ac:dyDescent="0.2">
      <c r="A98" s="3"/>
      <c r="B98" s="219"/>
      <c r="C98" s="17" t="s">
        <v>38</v>
      </c>
      <c r="D98" s="203">
        <v>44896</v>
      </c>
      <c r="E98" s="203">
        <v>45322</v>
      </c>
      <c r="F98" s="51">
        <v>0.18851662999999999</v>
      </c>
      <c r="G98" s="51">
        <v>0.2250181</v>
      </c>
      <c r="H98" s="51">
        <f t="shared" si="1"/>
        <v>3.6501470000000008E-2</v>
      </c>
      <c r="I98" s="213" t="s">
        <v>43</v>
      </c>
      <c r="J98" s="5" t="s">
        <v>43</v>
      </c>
      <c r="K98" s="88" t="str">
        <f t="shared" si="2"/>
        <v>T</v>
      </c>
      <c r="L98" s="19"/>
      <c r="O98" s="1"/>
      <c r="P98" s="2"/>
      <c r="Q98" s="2"/>
      <c r="R98" s="14"/>
      <c r="S98" s="14"/>
      <c r="T98" s="2"/>
      <c r="U98" s="2"/>
      <c r="V98" s="2"/>
      <c r="W98" s="2" t="s">
        <v>43</v>
      </c>
    </row>
    <row r="99" spans="1:23" x14ac:dyDescent="0.2">
      <c r="A99" s="3"/>
      <c r="B99" s="219"/>
      <c r="C99" s="17" t="s">
        <v>30</v>
      </c>
      <c r="D99" s="203">
        <v>44927</v>
      </c>
      <c r="E99" s="203">
        <v>45504</v>
      </c>
      <c r="F99" s="51">
        <v>0.12891547</v>
      </c>
      <c r="G99" s="51">
        <v>0.29318830000000001</v>
      </c>
      <c r="H99" s="51">
        <f t="shared" si="1"/>
        <v>0.16427283000000001</v>
      </c>
      <c r="I99" s="213" t="s">
        <v>45</v>
      </c>
      <c r="J99" s="5" t="s">
        <v>43</v>
      </c>
      <c r="K99" s="88" t="str">
        <f t="shared" si="2"/>
        <v>F</v>
      </c>
      <c r="L99" s="19"/>
      <c r="O99" s="1"/>
      <c r="P99" s="2"/>
      <c r="Q99" s="2"/>
      <c r="R99" s="14"/>
      <c r="S99" s="14"/>
      <c r="T99" s="2"/>
      <c r="U99" s="2"/>
      <c r="V99" s="2"/>
      <c r="W99" s="2" t="s">
        <v>43</v>
      </c>
    </row>
    <row r="100" spans="1:23" x14ac:dyDescent="0.2">
      <c r="A100" s="3"/>
      <c r="B100" s="219"/>
      <c r="C100" s="17" t="s">
        <v>37</v>
      </c>
      <c r="D100" s="203">
        <v>44988</v>
      </c>
      <c r="E100" s="203">
        <v>45383</v>
      </c>
      <c r="F100" s="51">
        <v>0.19420433000000001</v>
      </c>
      <c r="G100" s="51">
        <v>0.26379219999999998</v>
      </c>
      <c r="H100" s="51">
        <f t="shared" si="1"/>
        <v>6.9587869999999968E-2</v>
      </c>
      <c r="I100" s="213" t="s">
        <v>43</v>
      </c>
      <c r="J100" s="5" t="s">
        <v>43</v>
      </c>
      <c r="K100" s="88" t="str">
        <f t="shared" si="2"/>
        <v>T</v>
      </c>
      <c r="L100" s="19"/>
      <c r="O100" s="1"/>
      <c r="P100" s="2"/>
      <c r="Q100" s="2"/>
      <c r="R100" s="14"/>
      <c r="S100" s="14"/>
      <c r="T100" s="2"/>
      <c r="U100" s="2"/>
      <c r="V100" s="2"/>
      <c r="W100" s="2" t="s">
        <v>43</v>
      </c>
    </row>
    <row r="101" spans="1:23" x14ac:dyDescent="0.2">
      <c r="A101" s="3"/>
      <c r="B101" s="219"/>
      <c r="C101" s="17" t="s">
        <v>32</v>
      </c>
      <c r="D101" s="203">
        <v>45162</v>
      </c>
      <c r="E101" s="203">
        <v>45521</v>
      </c>
      <c r="F101" s="51">
        <v>0.22996470999999999</v>
      </c>
      <c r="G101" s="51">
        <v>0.50049429999999995</v>
      </c>
      <c r="H101" s="51">
        <f t="shared" si="1"/>
        <v>0.27052958999999999</v>
      </c>
      <c r="I101" s="213" t="s">
        <v>43</v>
      </c>
      <c r="J101" s="5" t="s">
        <v>43</v>
      </c>
      <c r="K101" s="88" t="str">
        <f t="shared" si="2"/>
        <v>T</v>
      </c>
      <c r="L101" s="19"/>
      <c r="O101" s="1"/>
      <c r="P101" s="2"/>
      <c r="Q101" s="2"/>
      <c r="R101" s="14"/>
      <c r="S101" s="14"/>
      <c r="T101" s="2"/>
      <c r="U101" s="2"/>
      <c r="V101" s="2"/>
      <c r="W101" s="2"/>
    </row>
    <row r="102" spans="1:23" x14ac:dyDescent="0.2">
      <c r="A102" s="3"/>
      <c r="B102" s="221"/>
      <c r="C102" s="115" t="s">
        <v>177</v>
      </c>
      <c r="D102" s="202">
        <v>43913</v>
      </c>
      <c r="E102" s="202">
        <v>45507</v>
      </c>
      <c r="F102" s="117" t="s">
        <v>57</v>
      </c>
      <c r="G102" s="117" t="s">
        <v>57</v>
      </c>
      <c r="H102" s="117" t="s">
        <v>57</v>
      </c>
      <c r="I102" s="214" t="s">
        <v>57</v>
      </c>
      <c r="J102" s="214" t="s">
        <v>57</v>
      </c>
      <c r="K102" s="214" t="s">
        <v>57</v>
      </c>
      <c r="L102" s="19"/>
      <c r="O102" s="1"/>
      <c r="P102" s="2"/>
      <c r="Q102" s="2"/>
      <c r="R102" s="14"/>
      <c r="S102" s="14"/>
      <c r="T102" s="2"/>
      <c r="U102" s="2"/>
      <c r="V102" s="2"/>
      <c r="W102" s="2"/>
    </row>
    <row r="103" spans="1:23" x14ac:dyDescent="0.2">
      <c r="A103" s="3"/>
      <c r="B103" s="218" t="s">
        <v>71</v>
      </c>
      <c r="C103" s="17" t="s">
        <v>387</v>
      </c>
      <c r="D103" s="203">
        <v>44368</v>
      </c>
      <c r="E103" s="203">
        <v>44619</v>
      </c>
      <c r="F103" s="51">
        <v>0.16927225000000001</v>
      </c>
      <c r="G103" s="51">
        <v>0.27444249999999998</v>
      </c>
      <c r="H103" s="51">
        <f t="shared" si="1"/>
        <v>0.10517024999999997</v>
      </c>
      <c r="I103" s="213" t="s">
        <v>45</v>
      </c>
      <c r="J103" s="5" t="s">
        <v>45</v>
      </c>
      <c r="K103" s="88" t="str">
        <f t="shared" si="2"/>
        <v>T</v>
      </c>
      <c r="L103" s="19"/>
      <c r="O103" s="1"/>
      <c r="P103" s="2"/>
      <c r="Q103" s="2"/>
      <c r="R103" s="14"/>
      <c r="S103" s="14"/>
      <c r="T103" s="2"/>
      <c r="U103" s="2"/>
      <c r="V103" s="2"/>
      <c r="W103" s="2" t="s">
        <v>43</v>
      </c>
    </row>
    <row r="104" spans="1:23" x14ac:dyDescent="0.2">
      <c r="A104" s="3"/>
      <c r="B104" s="219"/>
      <c r="C104" s="17" t="s">
        <v>14</v>
      </c>
      <c r="D104" s="203">
        <v>44377</v>
      </c>
      <c r="E104" s="203">
        <v>44620</v>
      </c>
      <c r="F104" s="51">
        <v>0.15447992999999999</v>
      </c>
      <c r="G104" s="51">
        <v>0.22113379999999999</v>
      </c>
      <c r="H104" s="51">
        <f t="shared" si="1"/>
        <v>6.6653870000000004E-2</v>
      </c>
      <c r="I104" s="213" t="s">
        <v>45</v>
      </c>
      <c r="J104" s="5" t="s">
        <v>43</v>
      </c>
      <c r="K104" s="88" t="str">
        <f t="shared" si="2"/>
        <v>F</v>
      </c>
      <c r="L104" s="19"/>
      <c r="O104" s="1"/>
      <c r="P104" s="2"/>
      <c r="Q104" s="2"/>
      <c r="R104" s="14"/>
      <c r="S104" s="14"/>
      <c r="T104" s="2"/>
      <c r="U104" s="2"/>
      <c r="V104" s="2"/>
      <c r="W104" s="2" t="s">
        <v>43</v>
      </c>
    </row>
    <row r="105" spans="1:23" x14ac:dyDescent="0.2">
      <c r="A105" s="3"/>
      <c r="B105" s="219"/>
      <c r="C105" s="17" t="s">
        <v>23</v>
      </c>
      <c r="D105" s="203">
        <v>44515</v>
      </c>
      <c r="E105" s="203">
        <v>44885</v>
      </c>
      <c r="F105" s="51">
        <v>0.33375758999999999</v>
      </c>
      <c r="G105" s="51">
        <v>0.2829431</v>
      </c>
      <c r="H105" s="51">
        <f t="shared" si="1"/>
        <v>-5.081448999999999E-2</v>
      </c>
      <c r="I105" s="213" t="s">
        <v>43</v>
      </c>
      <c r="J105" s="5" t="s">
        <v>43</v>
      </c>
      <c r="K105" s="88" t="str">
        <f t="shared" si="2"/>
        <v>T</v>
      </c>
      <c r="L105" s="19"/>
      <c r="O105" s="1"/>
      <c r="P105" s="2"/>
      <c r="Q105" s="2"/>
      <c r="R105" s="14"/>
      <c r="S105" s="14"/>
      <c r="T105" s="2"/>
      <c r="U105" s="2"/>
      <c r="V105" s="2"/>
      <c r="W105" s="2" t="s">
        <v>43</v>
      </c>
    </row>
    <row r="106" spans="1:23" x14ac:dyDescent="0.2">
      <c r="A106" s="3"/>
      <c r="B106" s="219"/>
      <c r="C106" s="17" t="s">
        <v>20</v>
      </c>
      <c r="D106" s="203">
        <v>44522</v>
      </c>
      <c r="E106" s="203">
        <v>45026</v>
      </c>
      <c r="F106" s="51">
        <v>0.59462570999999997</v>
      </c>
      <c r="G106" s="51">
        <v>0.74405319999999997</v>
      </c>
      <c r="H106" s="51">
        <f t="shared" si="1"/>
        <v>0.14942749</v>
      </c>
      <c r="I106" s="213" t="s">
        <v>43</v>
      </c>
      <c r="J106" s="5" t="s">
        <v>43</v>
      </c>
      <c r="K106" s="88" t="str">
        <f t="shared" si="2"/>
        <v>T</v>
      </c>
      <c r="L106" s="19"/>
      <c r="O106" s="1"/>
      <c r="P106" s="2"/>
      <c r="Q106" s="2"/>
      <c r="R106" s="14"/>
      <c r="S106" s="14"/>
      <c r="T106" s="2"/>
      <c r="U106" s="2"/>
      <c r="V106" s="2"/>
      <c r="W106" s="2"/>
    </row>
    <row r="107" spans="1:23" x14ac:dyDescent="0.2">
      <c r="A107" s="3"/>
      <c r="B107" s="219"/>
      <c r="C107" s="17" t="s">
        <v>25</v>
      </c>
      <c r="D107" s="203">
        <v>44648</v>
      </c>
      <c r="E107" s="203">
        <v>44979</v>
      </c>
      <c r="F107" s="51">
        <v>0.27209773999999998</v>
      </c>
      <c r="G107" s="51">
        <v>0.26299410000000001</v>
      </c>
      <c r="H107" s="51">
        <f t="shared" si="1"/>
        <v>-9.1036399999999684E-3</v>
      </c>
      <c r="I107" s="213" t="s">
        <v>43</v>
      </c>
      <c r="J107" s="5" t="s">
        <v>43</v>
      </c>
      <c r="K107" s="88" t="str">
        <f t="shared" si="2"/>
        <v>T</v>
      </c>
      <c r="L107" s="19"/>
      <c r="O107" s="1"/>
      <c r="P107" s="2"/>
      <c r="Q107" s="2"/>
      <c r="R107" s="14"/>
      <c r="S107" s="14"/>
      <c r="T107" s="2"/>
      <c r="U107" s="2"/>
      <c r="V107" s="2"/>
      <c r="W107" s="2" t="s">
        <v>43</v>
      </c>
    </row>
    <row r="108" spans="1:23" x14ac:dyDescent="0.2">
      <c r="A108" s="3"/>
      <c r="B108" s="219"/>
      <c r="C108" s="17" t="s">
        <v>24</v>
      </c>
      <c r="D108" s="203">
        <v>44684</v>
      </c>
      <c r="E108" s="203">
        <v>44996</v>
      </c>
      <c r="F108" s="51">
        <v>0.30574510999999999</v>
      </c>
      <c r="G108" s="51">
        <v>0.35554910000000001</v>
      </c>
      <c r="H108" s="51">
        <f t="shared" si="1"/>
        <v>4.980399000000002E-2</v>
      </c>
      <c r="I108" s="213" t="s">
        <v>43</v>
      </c>
      <c r="J108" s="5" t="s">
        <v>43</v>
      </c>
      <c r="K108" s="88" t="str">
        <f t="shared" si="2"/>
        <v>T</v>
      </c>
      <c r="L108" s="19"/>
      <c r="O108" s="1"/>
      <c r="P108" s="2"/>
      <c r="Q108" s="2"/>
      <c r="R108" s="14"/>
      <c r="S108" s="14"/>
      <c r="T108" s="2"/>
      <c r="U108" s="2"/>
      <c r="V108" s="2"/>
      <c r="W108" s="2" t="s">
        <v>43</v>
      </c>
    </row>
    <row r="109" spans="1:23" x14ac:dyDescent="0.2">
      <c r="A109" s="3"/>
      <c r="B109" s="219"/>
      <c r="C109" s="17" t="s">
        <v>28</v>
      </c>
      <c r="D109" s="203">
        <v>44804</v>
      </c>
      <c r="E109" s="203">
        <v>45025</v>
      </c>
      <c r="F109" s="51">
        <v>0.21910441</v>
      </c>
      <c r="G109" s="51">
        <v>0.26513639999999999</v>
      </c>
      <c r="H109" s="51">
        <f t="shared" si="1"/>
        <v>4.6031989999999995E-2</v>
      </c>
      <c r="I109" s="213" t="s">
        <v>43</v>
      </c>
      <c r="J109" s="5" t="s">
        <v>43</v>
      </c>
      <c r="K109" s="88" t="str">
        <f t="shared" si="2"/>
        <v>T</v>
      </c>
      <c r="L109" s="19"/>
      <c r="O109" s="1"/>
      <c r="P109" s="2"/>
      <c r="Q109" s="2"/>
      <c r="R109" s="14"/>
      <c r="S109" s="14"/>
      <c r="T109" s="2"/>
      <c r="U109" s="2"/>
      <c r="V109" s="2"/>
      <c r="W109" s="2" t="s">
        <v>43</v>
      </c>
    </row>
    <row r="110" spans="1:23" x14ac:dyDescent="0.2">
      <c r="A110" s="3"/>
      <c r="B110" s="221"/>
      <c r="C110" s="115" t="s">
        <v>408</v>
      </c>
      <c r="D110" s="202">
        <v>44368</v>
      </c>
      <c r="E110" s="202">
        <v>45039</v>
      </c>
      <c r="F110" s="117" t="s">
        <v>57</v>
      </c>
      <c r="G110" s="117" t="s">
        <v>57</v>
      </c>
      <c r="H110" s="117" t="s">
        <v>57</v>
      </c>
      <c r="I110" s="214" t="s">
        <v>57</v>
      </c>
      <c r="J110" s="214" t="s">
        <v>57</v>
      </c>
      <c r="K110" s="214" t="s">
        <v>57</v>
      </c>
      <c r="L110" s="19"/>
      <c r="O110" s="1"/>
      <c r="P110" s="2"/>
      <c r="Q110" s="2"/>
      <c r="R110" s="14"/>
      <c r="S110" s="14"/>
      <c r="T110" s="2"/>
      <c r="U110" s="2"/>
      <c r="V110" s="2"/>
      <c r="W110" s="2"/>
    </row>
    <row r="111" spans="1:23" x14ac:dyDescent="0.2">
      <c r="A111" s="3"/>
      <c r="B111" s="218" t="s">
        <v>67</v>
      </c>
      <c r="C111" s="17" t="s">
        <v>382</v>
      </c>
      <c r="D111" s="203">
        <v>43906</v>
      </c>
      <c r="E111" s="203">
        <v>44621</v>
      </c>
      <c r="F111" s="51">
        <v>9.584782E-2</v>
      </c>
      <c r="G111" s="51">
        <v>0.20718729999999999</v>
      </c>
      <c r="H111" s="51">
        <f t="shared" ref="H111:H173" si="3">G111-F111</f>
        <v>0.11133947999999999</v>
      </c>
      <c r="I111" s="213" t="s">
        <v>45</v>
      </c>
      <c r="J111" s="5" t="s">
        <v>43</v>
      </c>
      <c r="K111" s="88" t="str">
        <f t="shared" si="2"/>
        <v>F</v>
      </c>
      <c r="L111" s="19"/>
      <c r="O111" s="1"/>
      <c r="P111" s="2"/>
      <c r="Q111" s="2"/>
      <c r="R111" s="14"/>
      <c r="S111" s="14"/>
      <c r="T111" s="2"/>
      <c r="U111" s="2"/>
      <c r="V111" s="2"/>
      <c r="W111" s="2" t="s">
        <v>43</v>
      </c>
    </row>
    <row r="112" spans="1:23" x14ac:dyDescent="0.2">
      <c r="A112" s="3"/>
      <c r="B112" s="219"/>
      <c r="C112" s="17" t="s">
        <v>15</v>
      </c>
      <c r="D112" s="203">
        <v>43906</v>
      </c>
      <c r="E112" s="203">
        <v>45281</v>
      </c>
      <c r="F112" s="51">
        <v>0.15861127999999999</v>
      </c>
      <c r="G112" s="51">
        <v>0.30568709999999999</v>
      </c>
      <c r="H112" s="51">
        <f t="shared" si="3"/>
        <v>0.14707582</v>
      </c>
      <c r="I112" s="213" t="s">
        <v>43</v>
      </c>
      <c r="J112" s="5" t="s">
        <v>43</v>
      </c>
      <c r="K112" s="88" t="str">
        <f t="shared" si="2"/>
        <v>T</v>
      </c>
      <c r="L112" s="19"/>
      <c r="O112" s="1"/>
      <c r="P112" s="2"/>
      <c r="Q112" s="2"/>
      <c r="R112" s="14"/>
      <c r="S112" s="14"/>
      <c r="T112" s="2"/>
      <c r="U112" s="2"/>
      <c r="V112" s="2"/>
      <c r="W112" s="2" t="s">
        <v>43</v>
      </c>
    </row>
    <row r="113" spans="1:23" x14ac:dyDescent="0.2">
      <c r="A113" s="3"/>
      <c r="B113" s="219"/>
      <c r="C113" s="17" t="s">
        <v>16</v>
      </c>
      <c r="D113" s="203">
        <v>43906</v>
      </c>
      <c r="E113" s="203">
        <v>44476</v>
      </c>
      <c r="F113" s="51">
        <v>0.13226609</v>
      </c>
      <c r="G113" s="51">
        <v>0.25175239999999999</v>
      </c>
      <c r="H113" s="51">
        <f t="shared" si="3"/>
        <v>0.11948630999999998</v>
      </c>
      <c r="I113" s="213" t="s">
        <v>43</v>
      </c>
      <c r="J113" s="5" t="s">
        <v>43</v>
      </c>
      <c r="K113" s="88" t="str">
        <f t="shared" si="2"/>
        <v>T</v>
      </c>
      <c r="L113" s="19"/>
      <c r="O113" s="1"/>
      <c r="P113" s="2"/>
      <c r="Q113" s="2"/>
      <c r="R113" s="14"/>
      <c r="S113" s="14"/>
      <c r="T113" s="2"/>
      <c r="U113" s="2"/>
      <c r="V113" s="2"/>
      <c r="W113" s="2"/>
    </row>
    <row r="114" spans="1:23" x14ac:dyDescent="0.2">
      <c r="A114" s="3"/>
      <c r="B114" s="219"/>
      <c r="C114" s="17" t="s">
        <v>388</v>
      </c>
      <c r="D114" s="203">
        <v>43906</v>
      </c>
      <c r="E114" s="203">
        <v>44159</v>
      </c>
      <c r="F114" s="51">
        <v>9.9393690000000007E-2</v>
      </c>
      <c r="G114" s="51">
        <v>0.2204267</v>
      </c>
      <c r="H114" s="51">
        <f t="shared" si="3"/>
        <v>0.12103301</v>
      </c>
      <c r="I114" s="213" t="s">
        <v>45</v>
      </c>
      <c r="J114" s="5" t="s">
        <v>45</v>
      </c>
      <c r="K114" s="88" t="str">
        <f t="shared" si="2"/>
        <v>T</v>
      </c>
      <c r="L114" s="19"/>
      <c r="O114" s="1"/>
      <c r="P114" s="2"/>
      <c r="Q114" s="2"/>
      <c r="R114" s="14"/>
      <c r="S114" s="14"/>
      <c r="T114" s="2"/>
      <c r="U114" s="2"/>
      <c r="V114" s="2"/>
      <c r="W114" s="2" t="s">
        <v>43</v>
      </c>
    </row>
    <row r="115" spans="1:23" x14ac:dyDescent="0.2">
      <c r="A115" s="3"/>
      <c r="B115" s="219"/>
      <c r="C115" s="17" t="s">
        <v>389</v>
      </c>
      <c r="D115" s="203">
        <v>43908</v>
      </c>
      <c r="E115" s="203">
        <v>44011</v>
      </c>
      <c r="F115" s="51">
        <v>0.18447430000000001</v>
      </c>
      <c r="G115" s="51">
        <v>0.34764089999999997</v>
      </c>
      <c r="H115" s="51">
        <f t="shared" si="3"/>
        <v>0.16316659999999997</v>
      </c>
      <c r="I115" s="213" t="s">
        <v>45</v>
      </c>
      <c r="J115" s="5" t="s">
        <v>45</v>
      </c>
      <c r="K115" s="88" t="str">
        <f t="shared" si="2"/>
        <v>T</v>
      </c>
      <c r="L115" s="19"/>
      <c r="O115" s="1"/>
      <c r="P115" s="2"/>
      <c r="Q115" s="2"/>
      <c r="R115" s="14"/>
      <c r="S115" s="14"/>
      <c r="T115" s="2"/>
      <c r="U115" s="2"/>
      <c r="V115" s="2"/>
      <c r="W115" s="2" t="s">
        <v>43</v>
      </c>
    </row>
    <row r="116" spans="1:23" x14ac:dyDescent="0.2">
      <c r="A116" s="3"/>
      <c r="B116" s="219"/>
      <c r="C116" s="17" t="s">
        <v>390</v>
      </c>
      <c r="D116" s="203">
        <v>43910</v>
      </c>
      <c r="E116" s="203">
        <v>44209</v>
      </c>
      <c r="F116" s="51">
        <v>0.14632113999999999</v>
      </c>
      <c r="G116" s="51">
        <v>0.292182</v>
      </c>
      <c r="H116" s="51">
        <f t="shared" si="3"/>
        <v>0.14586086000000001</v>
      </c>
      <c r="I116" s="213" t="s">
        <v>43</v>
      </c>
      <c r="J116" s="5" t="s">
        <v>43</v>
      </c>
      <c r="K116" s="88" t="str">
        <f t="shared" si="2"/>
        <v>T</v>
      </c>
      <c r="L116" s="19"/>
      <c r="O116" s="1"/>
      <c r="P116" s="2"/>
      <c r="Q116" s="2"/>
      <c r="R116" s="14"/>
      <c r="S116" s="14"/>
      <c r="T116" s="2"/>
      <c r="U116" s="2"/>
      <c r="V116" s="2"/>
      <c r="W116" s="2" t="s">
        <v>43</v>
      </c>
    </row>
    <row r="117" spans="1:23" x14ac:dyDescent="0.2">
      <c r="A117" s="3"/>
      <c r="B117" s="219"/>
      <c r="C117" s="17" t="s">
        <v>36</v>
      </c>
      <c r="D117" s="203">
        <v>43917</v>
      </c>
      <c r="E117" s="203">
        <v>44515</v>
      </c>
      <c r="F117" s="51">
        <v>0.29660185999999999</v>
      </c>
      <c r="G117" s="51">
        <v>0.60327629999999999</v>
      </c>
      <c r="H117" s="51">
        <f t="shared" si="3"/>
        <v>0.30667443999999999</v>
      </c>
      <c r="I117" s="213" t="s">
        <v>43</v>
      </c>
      <c r="J117" s="5" t="s">
        <v>43</v>
      </c>
      <c r="K117" s="88" t="str">
        <f t="shared" si="2"/>
        <v>T</v>
      </c>
      <c r="L117" s="19"/>
      <c r="O117" s="1"/>
      <c r="P117" s="2"/>
      <c r="Q117" s="2"/>
      <c r="R117" s="14"/>
      <c r="S117" s="14"/>
      <c r="T117" s="2"/>
      <c r="U117" s="2"/>
      <c r="V117" s="2"/>
      <c r="W117" s="2" t="s">
        <v>43</v>
      </c>
    </row>
    <row r="118" spans="1:23" x14ac:dyDescent="0.2">
      <c r="A118" s="3"/>
      <c r="B118" s="219"/>
      <c r="C118" s="17" t="s">
        <v>391</v>
      </c>
      <c r="D118" s="203">
        <v>44011</v>
      </c>
      <c r="E118" s="203">
        <v>44364</v>
      </c>
      <c r="F118" s="51">
        <v>0.25735935999999998</v>
      </c>
      <c r="G118" s="51">
        <v>0.32132359999999999</v>
      </c>
      <c r="H118" s="51">
        <f t="shared" si="3"/>
        <v>6.3964240000000006E-2</v>
      </c>
      <c r="I118" s="213" t="s">
        <v>43</v>
      </c>
      <c r="J118" s="5" t="s">
        <v>43</v>
      </c>
      <c r="K118" s="88" t="str">
        <f t="shared" si="2"/>
        <v>T</v>
      </c>
      <c r="L118" s="19"/>
      <c r="O118" s="1"/>
      <c r="P118" s="2"/>
      <c r="Q118" s="2"/>
      <c r="R118" s="14"/>
      <c r="S118" s="14"/>
      <c r="T118" s="2"/>
      <c r="U118" s="2"/>
      <c r="V118" s="2"/>
      <c r="W118" s="2" t="s">
        <v>43</v>
      </c>
    </row>
    <row r="119" spans="1:23" x14ac:dyDescent="0.2">
      <c r="A119" s="3"/>
      <c r="B119" s="219"/>
      <c r="C119" s="17" t="s">
        <v>392</v>
      </c>
      <c r="D119" s="203">
        <v>44098</v>
      </c>
      <c r="E119" s="203">
        <v>44537</v>
      </c>
      <c r="F119" s="51">
        <v>0.20839863</v>
      </c>
      <c r="G119" s="51">
        <v>0.2331261</v>
      </c>
      <c r="H119" s="51">
        <f t="shared" si="3"/>
        <v>2.4727470000000001E-2</v>
      </c>
      <c r="I119" s="213" t="s">
        <v>43</v>
      </c>
      <c r="J119" s="5" t="s">
        <v>43</v>
      </c>
      <c r="K119" s="88" t="str">
        <f t="shared" ref="K119:K182" si="4">IF(I119=J119,"T","F")</f>
        <v>T</v>
      </c>
      <c r="L119" s="19"/>
      <c r="O119" s="1"/>
      <c r="P119" s="2"/>
      <c r="Q119" s="2"/>
      <c r="R119" s="14"/>
      <c r="S119" s="14"/>
      <c r="T119" s="2"/>
      <c r="U119" s="2"/>
      <c r="V119" s="2"/>
      <c r="W119" s="2" t="s">
        <v>43</v>
      </c>
    </row>
    <row r="120" spans="1:23" x14ac:dyDescent="0.2">
      <c r="A120" s="3"/>
      <c r="B120" s="219"/>
      <c r="C120" s="17" t="s">
        <v>11</v>
      </c>
      <c r="D120" s="203">
        <v>44153</v>
      </c>
      <c r="E120" s="203">
        <v>44679</v>
      </c>
      <c r="F120" s="51">
        <v>0.42279651000000001</v>
      </c>
      <c r="G120" s="51">
        <v>0.63002740000000002</v>
      </c>
      <c r="H120" s="51">
        <f t="shared" si="3"/>
        <v>0.20723089</v>
      </c>
      <c r="I120" s="213" t="s">
        <v>43</v>
      </c>
      <c r="J120" s="5" t="s">
        <v>43</v>
      </c>
      <c r="K120" s="88" t="str">
        <f t="shared" si="4"/>
        <v>T</v>
      </c>
      <c r="L120" s="19"/>
      <c r="O120" s="1"/>
      <c r="P120" s="2"/>
      <c r="Q120" s="2"/>
      <c r="R120" s="14"/>
      <c r="S120" s="14"/>
      <c r="T120" s="2"/>
      <c r="U120" s="2"/>
      <c r="V120" s="2"/>
      <c r="W120" s="2"/>
    </row>
    <row r="121" spans="1:23" x14ac:dyDescent="0.2">
      <c r="A121" s="3"/>
      <c r="B121" s="219"/>
      <c r="C121" s="17" t="s">
        <v>393</v>
      </c>
      <c r="D121" s="203">
        <v>44169</v>
      </c>
      <c r="E121" s="203">
        <v>44457</v>
      </c>
      <c r="F121" s="51">
        <v>0.21837808</v>
      </c>
      <c r="G121" s="51">
        <v>0.26198719999999998</v>
      </c>
      <c r="H121" s="51">
        <f t="shared" si="3"/>
        <v>4.3609119999999973E-2</v>
      </c>
      <c r="I121" s="213" t="s">
        <v>43</v>
      </c>
      <c r="J121" s="5" t="s">
        <v>43</v>
      </c>
      <c r="K121" s="88" t="str">
        <f t="shared" si="4"/>
        <v>T</v>
      </c>
      <c r="L121" s="19"/>
      <c r="O121" s="1"/>
      <c r="P121" s="2"/>
      <c r="Q121" s="2"/>
      <c r="R121" s="14"/>
      <c r="S121" s="14"/>
      <c r="T121" s="2"/>
      <c r="U121" s="2"/>
      <c r="V121" s="2"/>
      <c r="W121" s="2" t="s">
        <v>43</v>
      </c>
    </row>
    <row r="122" spans="1:23" x14ac:dyDescent="0.2">
      <c r="A122" s="3"/>
      <c r="B122" s="219"/>
      <c r="C122" s="17" t="s">
        <v>68</v>
      </c>
      <c r="D122" s="203">
        <v>44299</v>
      </c>
      <c r="E122" s="203">
        <v>44679</v>
      </c>
      <c r="F122" s="51">
        <v>0.23262004</v>
      </c>
      <c r="G122" s="51">
        <v>0.33018389999999997</v>
      </c>
      <c r="H122" s="51">
        <f t="shared" si="3"/>
        <v>9.7563859999999974E-2</v>
      </c>
      <c r="I122" s="213" t="s">
        <v>43</v>
      </c>
      <c r="J122" s="5" t="s">
        <v>43</v>
      </c>
      <c r="K122" s="88" t="str">
        <f t="shared" si="4"/>
        <v>T</v>
      </c>
      <c r="L122" s="19"/>
      <c r="O122" s="1"/>
      <c r="P122" s="2"/>
      <c r="Q122" s="2"/>
      <c r="R122" s="14"/>
      <c r="S122" s="14"/>
      <c r="T122" s="2"/>
      <c r="U122" s="2"/>
      <c r="V122" s="2"/>
      <c r="W122" s="2" t="s">
        <v>43</v>
      </c>
    </row>
    <row r="123" spans="1:23" x14ac:dyDescent="0.2">
      <c r="A123" s="3"/>
      <c r="B123" s="219"/>
      <c r="C123" s="17" t="s">
        <v>18</v>
      </c>
      <c r="D123" s="203">
        <v>44498</v>
      </c>
      <c r="E123" s="203">
        <v>45433</v>
      </c>
      <c r="F123" s="51">
        <v>0.44422053</v>
      </c>
      <c r="G123" s="51">
        <v>0.54906940000000004</v>
      </c>
      <c r="H123" s="51">
        <f t="shared" si="3"/>
        <v>0.10484887000000004</v>
      </c>
      <c r="I123" s="213" t="s">
        <v>43</v>
      </c>
      <c r="J123" s="5" t="s">
        <v>43</v>
      </c>
      <c r="K123" s="88" t="str">
        <f t="shared" si="4"/>
        <v>T</v>
      </c>
      <c r="L123" s="19"/>
      <c r="O123" s="1"/>
      <c r="P123" s="2"/>
      <c r="Q123" s="2"/>
      <c r="R123" s="14"/>
      <c r="S123" s="14"/>
      <c r="T123" s="2"/>
      <c r="U123" s="2"/>
      <c r="V123" s="2"/>
      <c r="W123" s="2" t="s">
        <v>43</v>
      </c>
    </row>
    <row r="124" spans="1:23" x14ac:dyDescent="0.2">
      <c r="A124" s="3"/>
      <c r="B124" s="219"/>
      <c r="C124" s="17" t="s">
        <v>17</v>
      </c>
      <c r="D124" s="203">
        <v>44523</v>
      </c>
      <c r="E124" s="203">
        <v>44965</v>
      </c>
      <c r="F124" s="51">
        <v>0.18171008999999999</v>
      </c>
      <c r="G124" s="51">
        <v>0.2425339</v>
      </c>
      <c r="H124" s="51">
        <f t="shared" si="3"/>
        <v>6.0823810000000006E-2</v>
      </c>
      <c r="I124" s="213" t="s">
        <v>45</v>
      </c>
      <c r="J124" s="5" t="s">
        <v>45</v>
      </c>
      <c r="K124" s="88" t="str">
        <f t="shared" si="4"/>
        <v>T</v>
      </c>
      <c r="L124" s="19"/>
      <c r="O124" s="1"/>
      <c r="P124" s="2"/>
      <c r="Q124" s="2"/>
      <c r="R124" s="14"/>
      <c r="S124" s="14"/>
      <c r="T124" s="2"/>
      <c r="U124" s="2"/>
      <c r="V124" s="2"/>
      <c r="W124" s="2"/>
    </row>
    <row r="125" spans="1:23" x14ac:dyDescent="0.2">
      <c r="A125" s="3"/>
      <c r="B125" s="219"/>
      <c r="C125" s="17" t="s">
        <v>20</v>
      </c>
      <c r="D125" s="203">
        <v>44529</v>
      </c>
      <c r="E125" s="203">
        <v>45482</v>
      </c>
      <c r="F125" s="51">
        <v>0.32871482000000002</v>
      </c>
      <c r="G125" s="51">
        <v>0.58002039999999999</v>
      </c>
      <c r="H125" s="51">
        <f t="shared" si="3"/>
        <v>0.25130557999999997</v>
      </c>
      <c r="I125" s="213" t="s">
        <v>43</v>
      </c>
      <c r="J125" s="5" t="s">
        <v>43</v>
      </c>
      <c r="K125" s="88" t="str">
        <f t="shared" si="4"/>
        <v>T</v>
      </c>
      <c r="L125" s="19"/>
      <c r="O125" s="1"/>
      <c r="P125" s="2"/>
      <c r="Q125" s="2"/>
      <c r="R125" s="14"/>
      <c r="S125" s="14"/>
      <c r="T125" s="2"/>
      <c r="U125" s="2"/>
      <c r="V125" s="2"/>
      <c r="W125" s="2" t="s">
        <v>43</v>
      </c>
    </row>
    <row r="126" spans="1:23" x14ac:dyDescent="0.2">
      <c r="A126" s="3"/>
      <c r="B126" s="219"/>
      <c r="C126" s="17" t="s">
        <v>22</v>
      </c>
      <c r="D126" s="203">
        <v>44557</v>
      </c>
      <c r="E126" s="203">
        <v>45028</v>
      </c>
      <c r="F126" s="51">
        <v>0.10243326</v>
      </c>
      <c r="G126" s="51">
        <v>0.22003909999999999</v>
      </c>
      <c r="H126" s="51">
        <f t="shared" si="3"/>
        <v>0.11760583999999999</v>
      </c>
      <c r="I126" s="213" t="s">
        <v>45</v>
      </c>
      <c r="J126" s="5" t="s">
        <v>43</v>
      </c>
      <c r="K126" s="88" t="str">
        <f t="shared" si="4"/>
        <v>F</v>
      </c>
      <c r="L126" s="19"/>
      <c r="O126" s="1"/>
      <c r="P126" s="2"/>
      <c r="Q126" s="2"/>
      <c r="R126" s="14"/>
      <c r="S126" s="14"/>
      <c r="T126" s="2"/>
      <c r="U126" s="2"/>
      <c r="V126" s="2"/>
      <c r="W126" s="2" t="s">
        <v>43</v>
      </c>
    </row>
    <row r="127" spans="1:23" x14ac:dyDescent="0.2">
      <c r="A127" s="3"/>
      <c r="B127" s="219"/>
      <c r="C127" s="17" t="s">
        <v>27</v>
      </c>
      <c r="D127" s="203">
        <v>44585</v>
      </c>
      <c r="E127" s="203">
        <v>45012</v>
      </c>
      <c r="F127" s="51">
        <v>0.18945745</v>
      </c>
      <c r="G127" s="51">
        <v>0.4456196</v>
      </c>
      <c r="H127" s="51">
        <f t="shared" si="3"/>
        <v>0.25616214999999998</v>
      </c>
      <c r="I127" s="213" t="s">
        <v>43</v>
      </c>
      <c r="J127" s="5" t="s">
        <v>43</v>
      </c>
      <c r="K127" s="88" t="str">
        <f t="shared" si="4"/>
        <v>T</v>
      </c>
      <c r="L127" s="19"/>
      <c r="O127" s="1"/>
      <c r="P127" s="2"/>
      <c r="Q127" s="2"/>
      <c r="R127" s="14"/>
      <c r="S127" s="14"/>
      <c r="T127" s="2"/>
      <c r="U127" s="2"/>
      <c r="V127" s="2"/>
      <c r="W127" s="2" t="s">
        <v>43</v>
      </c>
    </row>
    <row r="128" spans="1:23" x14ac:dyDescent="0.2">
      <c r="A128" s="3"/>
      <c r="B128" s="219"/>
      <c r="C128" s="17" t="s">
        <v>38</v>
      </c>
      <c r="D128" s="203">
        <v>44640</v>
      </c>
      <c r="E128" s="203">
        <v>45485</v>
      </c>
      <c r="F128" s="51">
        <v>0.40263736999999999</v>
      </c>
      <c r="G128" s="51">
        <v>0.71085750000000003</v>
      </c>
      <c r="H128" s="51">
        <f t="shared" si="3"/>
        <v>0.30822013000000004</v>
      </c>
      <c r="I128" s="213" t="s">
        <v>43</v>
      </c>
      <c r="J128" s="5" t="s">
        <v>43</v>
      </c>
      <c r="K128" s="88" t="str">
        <f t="shared" si="4"/>
        <v>T</v>
      </c>
      <c r="L128" s="19"/>
      <c r="O128" s="1"/>
      <c r="P128" s="2"/>
      <c r="Q128" s="2"/>
      <c r="R128" s="14"/>
      <c r="S128" s="14"/>
      <c r="T128" s="2"/>
      <c r="U128" s="2"/>
      <c r="V128" s="2"/>
      <c r="W128" s="2" t="s">
        <v>43</v>
      </c>
    </row>
    <row r="129" spans="1:23" x14ac:dyDescent="0.2">
      <c r="A129" s="3"/>
      <c r="B129" s="219"/>
      <c r="C129" s="17" t="s">
        <v>25</v>
      </c>
      <c r="D129" s="203">
        <v>44664</v>
      </c>
      <c r="E129" s="203">
        <v>45519</v>
      </c>
      <c r="F129" s="51">
        <v>0.17992958000000001</v>
      </c>
      <c r="G129" s="51">
        <v>0.23389180000000001</v>
      </c>
      <c r="H129" s="51">
        <f t="shared" si="3"/>
        <v>5.3962220000000005E-2</v>
      </c>
      <c r="I129" s="213" t="s">
        <v>43</v>
      </c>
      <c r="J129" s="5" t="s">
        <v>43</v>
      </c>
      <c r="K129" s="88" t="str">
        <f t="shared" si="4"/>
        <v>T</v>
      </c>
      <c r="L129" s="19"/>
      <c r="O129" s="1"/>
      <c r="P129" s="2"/>
      <c r="Q129" s="2"/>
      <c r="R129" s="14"/>
      <c r="S129" s="14"/>
      <c r="T129" s="2"/>
      <c r="U129" s="2"/>
      <c r="V129" s="2"/>
      <c r="W129" s="2" t="s">
        <v>43</v>
      </c>
    </row>
    <row r="130" spans="1:23" x14ac:dyDescent="0.2">
      <c r="A130" s="3"/>
      <c r="B130" s="219"/>
      <c r="C130" s="17" t="s">
        <v>26</v>
      </c>
      <c r="D130" s="203">
        <v>44694</v>
      </c>
      <c r="E130" s="203">
        <v>45367</v>
      </c>
      <c r="F130" s="51">
        <v>0.21816426</v>
      </c>
      <c r="G130" s="51">
        <v>0.2655401</v>
      </c>
      <c r="H130" s="51">
        <f t="shared" si="3"/>
        <v>4.7375840000000002E-2</v>
      </c>
      <c r="I130" s="213" t="s">
        <v>43</v>
      </c>
      <c r="J130" s="5" t="s">
        <v>43</v>
      </c>
      <c r="K130" s="88" t="str">
        <f t="shared" si="4"/>
        <v>T</v>
      </c>
      <c r="L130" s="19"/>
      <c r="O130" s="1"/>
      <c r="P130" s="2"/>
      <c r="Q130" s="2"/>
      <c r="R130" s="14"/>
      <c r="S130" s="14"/>
      <c r="T130" s="2"/>
      <c r="U130" s="2"/>
      <c r="V130" s="2"/>
      <c r="W130" s="2" t="s">
        <v>43</v>
      </c>
    </row>
    <row r="131" spans="1:23" x14ac:dyDescent="0.2">
      <c r="A131" s="3"/>
      <c r="B131" s="219"/>
      <c r="C131" s="17" t="s">
        <v>28</v>
      </c>
      <c r="D131" s="203">
        <v>44803</v>
      </c>
      <c r="E131" s="203">
        <v>45353</v>
      </c>
      <c r="F131" s="51">
        <v>0.31257950000000001</v>
      </c>
      <c r="G131" s="51">
        <v>0.53260719999999995</v>
      </c>
      <c r="H131" s="51">
        <f t="shared" si="3"/>
        <v>0.22002769999999994</v>
      </c>
      <c r="I131" s="213" t="s">
        <v>43</v>
      </c>
      <c r="J131" s="5" t="s">
        <v>43</v>
      </c>
      <c r="K131" s="88" t="str">
        <f t="shared" si="4"/>
        <v>T</v>
      </c>
      <c r="L131" s="19"/>
      <c r="O131" s="1"/>
      <c r="P131" s="2"/>
      <c r="Q131" s="2"/>
      <c r="R131" s="14"/>
      <c r="S131" s="14"/>
      <c r="T131" s="2"/>
      <c r="U131" s="2"/>
      <c r="V131" s="2"/>
      <c r="W131" s="2" t="s">
        <v>43</v>
      </c>
    </row>
    <row r="132" spans="1:23" x14ac:dyDescent="0.2">
      <c r="A132" s="3"/>
      <c r="B132" s="219"/>
      <c r="C132" s="17" t="s">
        <v>29</v>
      </c>
      <c r="D132" s="203">
        <v>44841</v>
      </c>
      <c r="E132" s="203">
        <v>45457</v>
      </c>
      <c r="F132" s="51">
        <v>0.13580107</v>
      </c>
      <c r="G132" s="51">
        <v>0.2135687</v>
      </c>
      <c r="H132" s="51">
        <f t="shared" si="3"/>
        <v>7.7767630000000004E-2</v>
      </c>
      <c r="I132" s="213" t="s">
        <v>43</v>
      </c>
      <c r="J132" s="5" t="s">
        <v>43</v>
      </c>
      <c r="K132" s="88" t="str">
        <f t="shared" si="4"/>
        <v>T</v>
      </c>
      <c r="L132" s="19"/>
      <c r="O132" s="1"/>
      <c r="P132" s="2"/>
      <c r="Q132" s="2"/>
      <c r="R132" s="14"/>
      <c r="S132" s="14"/>
      <c r="T132" s="2"/>
      <c r="U132" s="2"/>
      <c r="V132" s="2"/>
      <c r="W132" s="2" t="s">
        <v>43</v>
      </c>
    </row>
    <row r="133" spans="1:23" x14ac:dyDescent="0.2">
      <c r="A133" s="3"/>
      <c r="B133" s="219"/>
      <c r="C133" s="17" t="s">
        <v>31</v>
      </c>
      <c r="D133" s="203">
        <v>45138</v>
      </c>
      <c r="E133" s="203">
        <v>45428</v>
      </c>
      <c r="F133" s="51">
        <v>0.22856509999999999</v>
      </c>
      <c r="G133" s="51">
        <v>0.39705430000000003</v>
      </c>
      <c r="H133" s="51">
        <f t="shared" si="3"/>
        <v>0.16848920000000003</v>
      </c>
      <c r="I133" s="213" t="s">
        <v>43</v>
      </c>
      <c r="J133" s="5" t="s">
        <v>43</v>
      </c>
      <c r="K133" s="88" t="str">
        <f t="shared" si="4"/>
        <v>T</v>
      </c>
      <c r="L133" s="19"/>
      <c r="O133" s="1"/>
      <c r="P133" s="2"/>
      <c r="Q133" s="2"/>
      <c r="R133" s="14"/>
      <c r="S133" s="14"/>
      <c r="T133" s="2"/>
      <c r="U133" s="2"/>
      <c r="V133" s="2"/>
      <c r="W133" s="2" t="s">
        <v>43</v>
      </c>
    </row>
    <row r="134" spans="1:23" x14ac:dyDescent="0.2">
      <c r="A134" s="3"/>
      <c r="B134" s="219"/>
      <c r="C134" s="17" t="s">
        <v>32</v>
      </c>
      <c r="D134" s="203">
        <v>45208</v>
      </c>
      <c r="E134" s="203">
        <v>45536</v>
      </c>
      <c r="F134" s="51">
        <v>0.37207066999999999</v>
      </c>
      <c r="G134" s="51">
        <v>0.63164109999999996</v>
      </c>
      <c r="H134" s="51">
        <f t="shared" si="3"/>
        <v>0.25957042999999996</v>
      </c>
      <c r="I134" s="213" t="s">
        <v>43</v>
      </c>
      <c r="J134" s="5" t="s">
        <v>43</v>
      </c>
      <c r="K134" s="88" t="str">
        <f t="shared" si="4"/>
        <v>T</v>
      </c>
      <c r="L134" s="19"/>
      <c r="O134" s="1"/>
      <c r="P134" s="2"/>
      <c r="Q134" s="2"/>
      <c r="R134" s="14"/>
      <c r="S134" s="14"/>
      <c r="T134" s="2"/>
      <c r="U134" s="2"/>
      <c r="V134" s="2"/>
      <c r="W134" s="2" t="s">
        <v>43</v>
      </c>
    </row>
    <row r="135" spans="1:23" x14ac:dyDescent="0.2">
      <c r="A135" s="3"/>
      <c r="B135" s="219"/>
      <c r="C135" s="17" t="s">
        <v>33</v>
      </c>
      <c r="D135" s="203">
        <v>45215</v>
      </c>
      <c r="E135" s="203">
        <v>45536</v>
      </c>
      <c r="F135" s="51">
        <v>0.17000161</v>
      </c>
      <c r="G135" s="51">
        <v>0.24358630000000001</v>
      </c>
      <c r="H135" s="51">
        <f t="shared" si="3"/>
        <v>7.3584690000000008E-2</v>
      </c>
      <c r="I135" s="213" t="s">
        <v>43</v>
      </c>
      <c r="J135" s="5" t="s">
        <v>43</v>
      </c>
      <c r="K135" s="88" t="str">
        <f t="shared" si="4"/>
        <v>T</v>
      </c>
      <c r="L135" s="19"/>
      <c r="O135" s="1"/>
      <c r="P135" s="2"/>
      <c r="Q135" s="2"/>
      <c r="R135" s="14"/>
      <c r="S135" s="14"/>
      <c r="T135" s="2"/>
      <c r="U135" s="2"/>
      <c r="V135" s="2"/>
      <c r="W135" s="2" t="s">
        <v>43</v>
      </c>
    </row>
    <row r="136" spans="1:23" x14ac:dyDescent="0.2">
      <c r="A136" s="3"/>
      <c r="B136" s="221"/>
      <c r="C136" s="115" t="s">
        <v>409</v>
      </c>
      <c r="D136" s="202">
        <v>43906</v>
      </c>
      <c r="E136" s="202">
        <v>45530</v>
      </c>
      <c r="F136" s="117" t="s">
        <v>57</v>
      </c>
      <c r="G136" s="117" t="s">
        <v>57</v>
      </c>
      <c r="H136" s="117" t="s">
        <v>57</v>
      </c>
      <c r="I136" s="214" t="s">
        <v>57</v>
      </c>
      <c r="J136" s="214" t="s">
        <v>57</v>
      </c>
      <c r="K136" s="214" t="s">
        <v>57</v>
      </c>
      <c r="L136" s="19"/>
      <c r="O136" s="1"/>
      <c r="P136" s="2"/>
      <c r="Q136" s="2"/>
      <c r="R136" s="14"/>
      <c r="S136" s="14"/>
      <c r="T136" s="2"/>
      <c r="U136" s="2"/>
      <c r="V136" s="2"/>
      <c r="W136" s="2"/>
    </row>
    <row r="137" spans="1:23" x14ac:dyDescent="0.2">
      <c r="A137" s="3"/>
      <c r="B137" s="218" t="s">
        <v>69</v>
      </c>
      <c r="C137" s="17" t="s">
        <v>15</v>
      </c>
      <c r="D137" s="203">
        <v>43893</v>
      </c>
      <c r="E137" s="203">
        <v>44971</v>
      </c>
      <c r="F137" s="51">
        <v>0.16416876</v>
      </c>
      <c r="G137" s="51">
        <v>0.28263100000000002</v>
      </c>
      <c r="H137" s="51">
        <f t="shared" si="3"/>
        <v>0.11846224000000002</v>
      </c>
      <c r="I137" s="213" t="s">
        <v>45</v>
      </c>
      <c r="J137" s="5" t="s">
        <v>43</v>
      </c>
      <c r="K137" s="88" t="str">
        <f t="shared" si="4"/>
        <v>F</v>
      </c>
      <c r="L137" s="19"/>
      <c r="O137" s="1"/>
      <c r="P137" s="2"/>
      <c r="Q137" s="2"/>
      <c r="R137" s="14"/>
      <c r="S137" s="14"/>
      <c r="T137" s="2"/>
      <c r="U137" s="2"/>
      <c r="V137" s="2"/>
      <c r="W137" s="2"/>
    </row>
    <row r="138" spans="1:23" x14ac:dyDescent="0.2">
      <c r="A138" s="3"/>
      <c r="B138" s="219"/>
      <c r="C138" s="17" t="s">
        <v>70</v>
      </c>
      <c r="D138" s="203">
        <v>43903</v>
      </c>
      <c r="E138" s="203">
        <v>44702</v>
      </c>
      <c r="F138" s="51">
        <v>0.17923433</v>
      </c>
      <c r="G138" s="51">
        <v>0.71944549999999996</v>
      </c>
      <c r="H138" s="51">
        <f t="shared" si="3"/>
        <v>0.54021116999999996</v>
      </c>
      <c r="I138" s="213" t="s">
        <v>45</v>
      </c>
      <c r="J138" s="5" t="s">
        <v>43</v>
      </c>
      <c r="K138" s="88" t="str">
        <f t="shared" si="4"/>
        <v>F</v>
      </c>
      <c r="L138" s="19"/>
      <c r="O138" s="1"/>
      <c r="P138" s="2"/>
      <c r="Q138" s="2"/>
      <c r="R138" s="14"/>
      <c r="S138" s="14"/>
      <c r="T138" s="2"/>
      <c r="U138" s="2"/>
      <c r="V138" s="2"/>
      <c r="W138" s="2" t="s">
        <v>43</v>
      </c>
    </row>
    <row r="139" spans="1:23" x14ac:dyDescent="0.2">
      <c r="A139" s="3"/>
      <c r="B139" s="219"/>
      <c r="C139" s="17" t="s">
        <v>36</v>
      </c>
      <c r="D139" s="203">
        <v>43904</v>
      </c>
      <c r="E139" s="203">
        <v>44601</v>
      </c>
      <c r="F139" s="51">
        <v>0.42641698</v>
      </c>
      <c r="G139" s="51">
        <v>0.73652209999999996</v>
      </c>
      <c r="H139" s="51">
        <f t="shared" si="3"/>
        <v>0.31010511999999996</v>
      </c>
      <c r="I139" s="213" t="s">
        <v>43</v>
      </c>
      <c r="J139" s="5" t="s">
        <v>43</v>
      </c>
      <c r="K139" s="88" t="str">
        <f t="shared" si="4"/>
        <v>T</v>
      </c>
      <c r="L139" s="19"/>
      <c r="O139" s="1"/>
      <c r="P139" s="2"/>
      <c r="Q139" s="2"/>
      <c r="R139" s="14"/>
      <c r="S139" s="14"/>
      <c r="T139" s="2"/>
      <c r="U139" s="2"/>
      <c r="V139" s="2"/>
      <c r="W139" s="2"/>
    </row>
    <row r="140" spans="1:23" x14ac:dyDescent="0.2">
      <c r="A140" s="3"/>
      <c r="B140" s="219"/>
      <c r="C140" s="17" t="s">
        <v>20</v>
      </c>
      <c r="D140" s="203">
        <v>43918</v>
      </c>
      <c r="E140" s="203">
        <v>45412</v>
      </c>
      <c r="F140" s="51">
        <v>0.50544279999999997</v>
      </c>
      <c r="G140" s="51">
        <v>0.85327489999999995</v>
      </c>
      <c r="H140" s="51">
        <f t="shared" si="3"/>
        <v>0.34783209999999998</v>
      </c>
      <c r="I140" s="213" t="s">
        <v>43</v>
      </c>
      <c r="J140" s="5" t="s">
        <v>43</v>
      </c>
      <c r="K140" s="88" t="str">
        <f t="shared" si="4"/>
        <v>T</v>
      </c>
      <c r="L140" s="19"/>
      <c r="O140" s="1"/>
      <c r="P140" s="2"/>
      <c r="Q140" s="2"/>
      <c r="R140" s="14"/>
      <c r="S140" s="14"/>
      <c r="T140" s="2"/>
      <c r="U140" s="2"/>
      <c r="V140" s="2"/>
      <c r="W140" s="2" t="s">
        <v>43</v>
      </c>
    </row>
    <row r="141" spans="1:23" x14ac:dyDescent="0.2">
      <c r="A141" s="3"/>
      <c r="B141" s="219"/>
      <c r="C141" s="17" t="s">
        <v>28</v>
      </c>
      <c r="D141" s="203">
        <v>44119</v>
      </c>
      <c r="E141" s="203">
        <v>45428</v>
      </c>
      <c r="F141" s="51">
        <v>0.22220348000000001</v>
      </c>
      <c r="G141" s="51">
        <v>0.60469830000000002</v>
      </c>
      <c r="H141" s="51">
        <f t="shared" si="3"/>
        <v>0.38249482000000001</v>
      </c>
      <c r="I141" s="213" t="s">
        <v>45</v>
      </c>
      <c r="J141" s="5" t="s">
        <v>43</v>
      </c>
      <c r="K141" s="88" t="str">
        <f t="shared" si="4"/>
        <v>F</v>
      </c>
      <c r="L141" s="19"/>
      <c r="M141" s="3"/>
      <c r="N141" s="2"/>
      <c r="O141" s="1"/>
      <c r="P141" s="2"/>
      <c r="Q141" s="2"/>
      <c r="R141" s="14"/>
      <c r="S141" s="14"/>
      <c r="T141" s="2"/>
      <c r="U141" s="2"/>
      <c r="V141" s="2"/>
      <c r="W141" s="2" t="s">
        <v>43</v>
      </c>
    </row>
    <row r="142" spans="1:23" x14ac:dyDescent="0.2">
      <c r="A142" s="3"/>
      <c r="B142" s="219"/>
      <c r="C142" s="17" t="s">
        <v>18</v>
      </c>
      <c r="D142" s="203">
        <v>44205</v>
      </c>
      <c r="E142" s="203">
        <v>45182</v>
      </c>
      <c r="F142" s="51">
        <v>0.25021054999999998</v>
      </c>
      <c r="G142" s="51">
        <v>0.32645020000000002</v>
      </c>
      <c r="H142" s="51">
        <f t="shared" si="3"/>
        <v>7.6239650000000048E-2</v>
      </c>
      <c r="I142" s="213" t="s">
        <v>45</v>
      </c>
      <c r="J142" s="5" t="s">
        <v>45</v>
      </c>
      <c r="K142" s="88" t="str">
        <f t="shared" si="4"/>
        <v>T</v>
      </c>
      <c r="L142" s="52"/>
      <c r="M142" s="3"/>
      <c r="N142" s="2"/>
      <c r="O142" s="1"/>
      <c r="P142" s="2"/>
      <c r="Q142" s="2"/>
      <c r="R142" s="14"/>
      <c r="S142" s="14"/>
      <c r="T142" s="2"/>
      <c r="U142" s="2"/>
      <c r="V142" s="2"/>
      <c r="W142" s="2" t="s">
        <v>43</v>
      </c>
    </row>
    <row r="143" spans="1:23" x14ac:dyDescent="0.2">
      <c r="A143" s="3"/>
      <c r="B143" s="219"/>
      <c r="C143" s="17" t="s">
        <v>14</v>
      </c>
      <c r="D143" s="203">
        <v>44208</v>
      </c>
      <c r="E143" s="203">
        <v>44763</v>
      </c>
      <c r="F143" s="51">
        <v>0.2255808</v>
      </c>
      <c r="G143" s="51">
        <v>0.41594579999999998</v>
      </c>
      <c r="H143" s="51">
        <f t="shared" si="3"/>
        <v>0.19036499999999998</v>
      </c>
      <c r="I143" s="213" t="s">
        <v>43</v>
      </c>
      <c r="J143" s="5" t="s">
        <v>43</v>
      </c>
      <c r="K143" s="88" t="str">
        <f t="shared" si="4"/>
        <v>T</v>
      </c>
      <c r="L143" s="52"/>
      <c r="M143" s="3"/>
      <c r="N143" s="2"/>
      <c r="O143" s="1"/>
      <c r="P143" s="2"/>
      <c r="Q143" s="2"/>
      <c r="R143" s="14"/>
      <c r="S143" s="14"/>
      <c r="T143" s="2"/>
      <c r="U143" s="2"/>
      <c r="V143" s="2"/>
      <c r="W143" s="2" t="s">
        <v>43</v>
      </c>
    </row>
    <row r="144" spans="1:23" x14ac:dyDescent="0.2">
      <c r="A144" s="3"/>
      <c r="B144" s="219"/>
      <c r="C144" s="17" t="s">
        <v>386</v>
      </c>
      <c r="D144" s="203">
        <v>44241</v>
      </c>
      <c r="E144" s="203">
        <v>45358</v>
      </c>
      <c r="F144" s="51">
        <v>0.21766170000000001</v>
      </c>
      <c r="G144" s="51">
        <v>0.24558749999999999</v>
      </c>
      <c r="H144" s="51">
        <f t="shared" si="3"/>
        <v>2.7925799999999973E-2</v>
      </c>
      <c r="I144" s="213" t="s">
        <v>45</v>
      </c>
      <c r="J144" s="5" t="s">
        <v>45</v>
      </c>
      <c r="K144" s="88" t="str">
        <f t="shared" si="4"/>
        <v>T</v>
      </c>
      <c r="L144" s="52"/>
      <c r="M144" s="3"/>
      <c r="N144" s="2"/>
      <c r="O144" s="1"/>
      <c r="P144" s="2"/>
      <c r="Q144" s="2"/>
      <c r="R144" s="14"/>
      <c r="S144" s="14"/>
      <c r="T144" s="2"/>
      <c r="U144" s="2"/>
      <c r="V144" s="2"/>
      <c r="W144" s="2" t="s">
        <v>43</v>
      </c>
    </row>
    <row r="145" spans="1:23" x14ac:dyDescent="0.2">
      <c r="A145" s="3"/>
      <c r="B145" s="219"/>
      <c r="C145" s="17" t="s">
        <v>9</v>
      </c>
      <c r="D145" s="203">
        <v>44292</v>
      </c>
      <c r="E145" s="203">
        <v>44699</v>
      </c>
      <c r="F145" s="51">
        <v>0.13525696000000001</v>
      </c>
      <c r="G145" s="51">
        <v>0.22329689999999999</v>
      </c>
      <c r="H145" s="51">
        <f t="shared" si="3"/>
        <v>8.8039939999999983E-2</v>
      </c>
      <c r="I145" s="213" t="s">
        <v>43</v>
      </c>
      <c r="J145" s="5" t="s">
        <v>43</v>
      </c>
      <c r="K145" s="88" t="str">
        <f t="shared" si="4"/>
        <v>T</v>
      </c>
      <c r="L145" s="52"/>
      <c r="M145" s="3"/>
      <c r="N145" s="2"/>
      <c r="O145" s="1"/>
      <c r="P145" s="2"/>
      <c r="Q145" s="2"/>
      <c r="R145" s="14"/>
      <c r="S145" s="14"/>
      <c r="T145" s="2"/>
      <c r="U145" s="2"/>
      <c r="V145" s="2"/>
      <c r="W145" s="2" t="s">
        <v>43</v>
      </c>
    </row>
    <row r="146" spans="1:23" x14ac:dyDescent="0.2">
      <c r="A146" s="3"/>
      <c r="B146" s="219"/>
      <c r="C146" s="17" t="s">
        <v>10</v>
      </c>
      <c r="D146" s="203">
        <v>44319</v>
      </c>
      <c r="E146" s="203">
        <v>44813</v>
      </c>
      <c r="F146" s="51">
        <v>0.19185409</v>
      </c>
      <c r="G146" s="51">
        <v>0.23919219999999999</v>
      </c>
      <c r="H146" s="51">
        <f t="shared" si="3"/>
        <v>4.7338109999999989E-2</v>
      </c>
      <c r="I146" s="213" t="s">
        <v>43</v>
      </c>
      <c r="J146" s="5" t="s">
        <v>43</v>
      </c>
      <c r="K146" s="88" t="str">
        <f t="shared" si="4"/>
        <v>T</v>
      </c>
      <c r="L146" s="52"/>
      <c r="M146" s="3"/>
      <c r="N146" s="2"/>
      <c r="O146" s="1"/>
      <c r="P146" s="2"/>
      <c r="Q146" s="2"/>
      <c r="R146" s="14"/>
      <c r="S146" s="14"/>
      <c r="T146" s="2"/>
      <c r="U146" s="2"/>
      <c r="V146" s="2"/>
      <c r="W146" s="2" t="s">
        <v>43</v>
      </c>
    </row>
    <row r="147" spans="1:23" x14ac:dyDescent="0.2">
      <c r="A147" s="3"/>
      <c r="B147" s="219"/>
      <c r="C147" s="17" t="s">
        <v>24</v>
      </c>
      <c r="D147" s="203">
        <v>44333</v>
      </c>
      <c r="E147" s="203">
        <v>45186</v>
      </c>
      <c r="F147" s="51">
        <v>0.21196994999999999</v>
      </c>
      <c r="G147" s="51">
        <v>0.3715195</v>
      </c>
      <c r="H147" s="51">
        <f t="shared" si="3"/>
        <v>0.15954955000000001</v>
      </c>
      <c r="I147" s="213" t="s">
        <v>43</v>
      </c>
      <c r="J147" s="5" t="s">
        <v>43</v>
      </c>
      <c r="K147" s="88" t="str">
        <f t="shared" si="4"/>
        <v>T</v>
      </c>
      <c r="L147" s="52"/>
      <c r="M147" s="3"/>
      <c r="N147" s="2"/>
      <c r="O147" s="1"/>
      <c r="P147" s="2"/>
      <c r="Q147" s="2"/>
      <c r="R147" s="14"/>
      <c r="S147" s="14"/>
      <c r="T147" s="2"/>
      <c r="U147" s="2"/>
      <c r="V147" s="2"/>
      <c r="W147" s="2" t="s">
        <v>43</v>
      </c>
    </row>
    <row r="148" spans="1:23" x14ac:dyDescent="0.2">
      <c r="A148" s="3"/>
      <c r="B148" s="219"/>
      <c r="C148" s="17" t="s">
        <v>25</v>
      </c>
      <c r="D148" s="203">
        <v>44515</v>
      </c>
      <c r="E148" s="203">
        <v>45177</v>
      </c>
      <c r="F148" s="51">
        <v>0.12763993000000001</v>
      </c>
      <c r="G148" s="51">
        <v>0.21116860000000001</v>
      </c>
      <c r="H148" s="51">
        <f t="shared" si="3"/>
        <v>8.3528669999999999E-2</v>
      </c>
      <c r="I148" s="213" t="s">
        <v>45</v>
      </c>
      <c r="J148" s="5" t="s">
        <v>43</v>
      </c>
      <c r="K148" s="88" t="str">
        <f t="shared" si="4"/>
        <v>F</v>
      </c>
      <c r="L148" s="52"/>
      <c r="M148" s="3"/>
      <c r="N148" s="2"/>
      <c r="O148" s="1"/>
      <c r="P148" s="2"/>
      <c r="Q148" s="2"/>
      <c r="R148" s="14"/>
      <c r="S148" s="14"/>
      <c r="T148" s="2"/>
      <c r="U148" s="2"/>
      <c r="V148" s="2"/>
      <c r="W148" s="2"/>
    </row>
    <row r="149" spans="1:23" x14ac:dyDescent="0.2">
      <c r="A149" s="3"/>
      <c r="B149" s="219"/>
      <c r="C149" s="17" t="s">
        <v>38</v>
      </c>
      <c r="D149" s="203">
        <v>44612</v>
      </c>
      <c r="E149" s="203">
        <v>45317</v>
      </c>
      <c r="F149" s="51">
        <v>0.21233262999999999</v>
      </c>
      <c r="G149" s="51">
        <v>0.52871259999999998</v>
      </c>
      <c r="H149" s="51">
        <f t="shared" si="3"/>
        <v>0.31637996999999995</v>
      </c>
      <c r="I149" s="213" t="s">
        <v>43</v>
      </c>
      <c r="J149" s="5" t="s">
        <v>43</v>
      </c>
      <c r="K149" s="88" t="str">
        <f t="shared" si="4"/>
        <v>T</v>
      </c>
      <c r="N149" s="1"/>
      <c r="O149" s="2"/>
      <c r="P149" s="2"/>
      <c r="Q149" s="14"/>
      <c r="R149" s="14"/>
      <c r="S149" s="2"/>
      <c r="T149" s="2"/>
      <c r="U149" s="2"/>
      <c r="V149" s="2"/>
      <c r="W149" s="14"/>
    </row>
    <row r="150" spans="1:23" x14ac:dyDescent="0.2">
      <c r="A150" s="3"/>
      <c r="B150" s="219"/>
      <c r="C150" s="17" t="s">
        <v>32</v>
      </c>
      <c r="D150" s="203">
        <v>44929</v>
      </c>
      <c r="E150" s="203">
        <v>45514</v>
      </c>
      <c r="F150" s="51">
        <v>0.29738392000000002</v>
      </c>
      <c r="G150" s="51">
        <v>0.69134399999999996</v>
      </c>
      <c r="H150" s="51">
        <f t="shared" si="3"/>
        <v>0.39396007999999993</v>
      </c>
      <c r="I150" s="213" t="s">
        <v>43</v>
      </c>
      <c r="J150" s="5" t="s">
        <v>43</v>
      </c>
      <c r="K150" s="88" t="str">
        <f t="shared" si="4"/>
        <v>T</v>
      </c>
      <c r="N150" s="1"/>
      <c r="O150" s="2"/>
      <c r="P150" s="2"/>
      <c r="Q150" s="14"/>
      <c r="R150" s="14"/>
      <c r="S150" s="2"/>
      <c r="T150" s="2"/>
      <c r="U150" s="2"/>
      <c r="V150" s="2"/>
      <c r="W150" s="14"/>
    </row>
    <row r="151" spans="1:23" x14ac:dyDescent="0.2">
      <c r="A151" s="3"/>
      <c r="B151" s="219"/>
      <c r="C151" s="17" t="s">
        <v>165</v>
      </c>
      <c r="D151" s="203">
        <v>44930</v>
      </c>
      <c r="E151" s="203">
        <v>45514</v>
      </c>
      <c r="F151" s="51">
        <v>0.1761123</v>
      </c>
      <c r="G151" s="51">
        <v>0.35436679999999998</v>
      </c>
      <c r="H151" s="51">
        <f t="shared" si="3"/>
        <v>0.17825449999999998</v>
      </c>
      <c r="I151" s="213" t="s">
        <v>45</v>
      </c>
      <c r="J151" s="5" t="s">
        <v>43</v>
      </c>
      <c r="K151" s="88" t="str">
        <f t="shared" si="4"/>
        <v>F</v>
      </c>
      <c r="N151" s="1"/>
      <c r="O151" s="2"/>
      <c r="P151" s="2"/>
      <c r="Q151" s="14"/>
      <c r="R151" s="14"/>
      <c r="S151" s="2"/>
      <c r="T151" s="2"/>
      <c r="U151" s="2"/>
      <c r="V151" s="2"/>
      <c r="W151" s="14"/>
    </row>
    <row r="152" spans="1:23" x14ac:dyDescent="0.2">
      <c r="A152" s="3"/>
      <c r="B152" s="219"/>
      <c r="C152" s="17" t="s">
        <v>37</v>
      </c>
      <c r="D152" s="203">
        <v>44962</v>
      </c>
      <c r="E152" s="203">
        <v>45286</v>
      </c>
      <c r="F152" s="51">
        <v>0.20606948</v>
      </c>
      <c r="G152" s="51">
        <v>0.20966470000000001</v>
      </c>
      <c r="H152" s="51">
        <f t="shared" si="3"/>
        <v>3.5952200000000101E-3</v>
      </c>
      <c r="I152" s="213" t="s">
        <v>43</v>
      </c>
      <c r="J152" s="5" t="s">
        <v>43</v>
      </c>
      <c r="K152" s="88" t="str">
        <f t="shared" si="4"/>
        <v>T</v>
      </c>
      <c r="N152" s="1"/>
      <c r="O152" s="2"/>
      <c r="P152" s="2"/>
      <c r="Q152" s="14"/>
      <c r="R152" s="14"/>
      <c r="S152" s="2"/>
      <c r="T152" s="2"/>
      <c r="U152" s="2"/>
      <c r="V152" s="2"/>
    </row>
    <row r="153" spans="1:23" x14ac:dyDescent="0.2">
      <c r="A153" s="3"/>
      <c r="B153" s="221"/>
      <c r="C153" s="115" t="s">
        <v>410</v>
      </c>
      <c r="D153" s="202">
        <v>43892</v>
      </c>
      <c r="E153" s="202">
        <v>45475</v>
      </c>
      <c r="F153" s="117" t="s">
        <v>57</v>
      </c>
      <c r="G153" s="117" t="s">
        <v>57</v>
      </c>
      <c r="H153" s="117" t="s">
        <v>57</v>
      </c>
      <c r="I153" s="214" t="s">
        <v>57</v>
      </c>
      <c r="J153" s="214" t="s">
        <v>57</v>
      </c>
      <c r="K153" s="214" t="s">
        <v>57</v>
      </c>
      <c r="N153" s="1"/>
      <c r="O153" s="2"/>
      <c r="P153" s="2"/>
      <c r="Q153" s="14"/>
      <c r="R153" s="14"/>
      <c r="S153" s="2"/>
      <c r="T153" s="2"/>
      <c r="U153" s="2"/>
      <c r="V153" s="2"/>
    </row>
    <row r="154" spans="1:23" x14ac:dyDescent="0.2">
      <c r="A154" s="3"/>
      <c r="B154" s="218" t="s">
        <v>72</v>
      </c>
      <c r="C154" s="17" t="s">
        <v>124</v>
      </c>
      <c r="D154" s="203">
        <v>43941</v>
      </c>
      <c r="E154" s="203">
        <v>44543</v>
      </c>
      <c r="F154" s="51">
        <v>0.30230258999999998</v>
      </c>
      <c r="G154" s="51">
        <v>0.28358840000000002</v>
      </c>
      <c r="H154" s="51">
        <f t="shared" si="3"/>
        <v>-1.8714189999999964E-2</v>
      </c>
      <c r="I154" s="213" t="s">
        <v>45</v>
      </c>
      <c r="J154" s="5" t="s">
        <v>45</v>
      </c>
      <c r="K154" s="88" t="str">
        <f t="shared" si="4"/>
        <v>T</v>
      </c>
      <c r="N154" s="1"/>
      <c r="O154" s="2"/>
      <c r="P154" s="2"/>
      <c r="Q154" s="14"/>
      <c r="R154" s="14"/>
      <c r="S154" s="2"/>
      <c r="T154" s="2"/>
      <c r="U154" s="2"/>
      <c r="V154" s="2"/>
    </row>
    <row r="155" spans="1:23" x14ac:dyDescent="0.2">
      <c r="A155" s="3"/>
      <c r="B155" s="219"/>
      <c r="C155" s="17" t="s">
        <v>70</v>
      </c>
      <c r="D155" s="203">
        <v>44060</v>
      </c>
      <c r="E155" s="203">
        <v>44344</v>
      </c>
      <c r="F155" s="51">
        <v>0.23440949</v>
      </c>
      <c r="G155" s="51">
        <v>0.32807150000000002</v>
      </c>
      <c r="H155" s="51">
        <f t="shared" si="3"/>
        <v>9.3662010000000018E-2</v>
      </c>
      <c r="I155" s="213" t="s">
        <v>45</v>
      </c>
      <c r="J155" s="5" t="s">
        <v>45</v>
      </c>
      <c r="K155" s="88" t="str">
        <f t="shared" si="4"/>
        <v>T</v>
      </c>
      <c r="N155" s="1"/>
      <c r="O155" s="2"/>
      <c r="P155" s="2"/>
      <c r="Q155" s="14"/>
      <c r="R155" s="14"/>
      <c r="S155" s="2"/>
      <c r="T155" s="2"/>
      <c r="U155" s="2"/>
      <c r="V155" s="2"/>
    </row>
    <row r="156" spans="1:23" x14ac:dyDescent="0.2">
      <c r="A156" s="3"/>
      <c r="B156" s="219"/>
      <c r="C156" s="17" t="s">
        <v>10</v>
      </c>
      <c r="D156" s="203">
        <v>44154</v>
      </c>
      <c r="E156" s="203">
        <v>44641</v>
      </c>
      <c r="F156" s="51">
        <v>0.1998586</v>
      </c>
      <c r="G156" s="51">
        <v>0.25985530000000001</v>
      </c>
      <c r="H156" s="51">
        <f t="shared" si="3"/>
        <v>5.9996700000000014E-2</v>
      </c>
      <c r="I156" s="213" t="s">
        <v>43</v>
      </c>
      <c r="J156" s="5" t="s">
        <v>43</v>
      </c>
      <c r="K156" s="88" t="str">
        <f t="shared" si="4"/>
        <v>T</v>
      </c>
    </row>
    <row r="157" spans="1:23" x14ac:dyDescent="0.2">
      <c r="A157" s="3"/>
      <c r="B157" s="219"/>
      <c r="C157" s="17" t="s">
        <v>20</v>
      </c>
      <c r="D157" s="203">
        <v>44280</v>
      </c>
      <c r="E157" s="203">
        <v>45383</v>
      </c>
      <c r="F157" s="51">
        <v>0.41762706999999999</v>
      </c>
      <c r="G157" s="51">
        <v>0.68839720000000004</v>
      </c>
      <c r="H157" s="51">
        <f t="shared" si="3"/>
        <v>0.27077013000000005</v>
      </c>
      <c r="I157" s="213" t="s">
        <v>43</v>
      </c>
      <c r="J157" s="5" t="s">
        <v>43</v>
      </c>
      <c r="K157" s="88" t="str">
        <f t="shared" si="4"/>
        <v>T</v>
      </c>
    </row>
    <row r="158" spans="1:23" x14ac:dyDescent="0.2">
      <c r="A158" s="3"/>
      <c r="B158" s="219"/>
      <c r="C158" s="17" t="s">
        <v>368</v>
      </c>
      <c r="D158" s="203">
        <v>44305</v>
      </c>
      <c r="E158" s="203">
        <v>44445</v>
      </c>
      <c r="F158" s="51">
        <v>0.12809224</v>
      </c>
      <c r="G158" s="51">
        <v>0.21656359999999999</v>
      </c>
      <c r="H158" s="51">
        <f t="shared" si="3"/>
        <v>8.8471359999999999E-2</v>
      </c>
      <c r="I158" s="213" t="s">
        <v>45</v>
      </c>
      <c r="J158" s="5" t="s">
        <v>45</v>
      </c>
      <c r="K158" s="88" t="str">
        <f t="shared" si="4"/>
        <v>T</v>
      </c>
    </row>
    <row r="159" spans="1:23" x14ac:dyDescent="0.2">
      <c r="A159" s="3"/>
      <c r="B159" s="219"/>
      <c r="C159" s="17" t="s">
        <v>13</v>
      </c>
      <c r="D159" s="203">
        <v>44344</v>
      </c>
      <c r="E159" s="203">
        <v>44599</v>
      </c>
      <c r="F159" s="51">
        <v>0.15796241999999999</v>
      </c>
      <c r="G159" s="51">
        <v>0.2181332</v>
      </c>
      <c r="H159" s="51">
        <f t="shared" si="3"/>
        <v>6.0170780000000007E-2</v>
      </c>
      <c r="I159" s="213" t="s">
        <v>43</v>
      </c>
      <c r="J159" s="5" t="s">
        <v>43</v>
      </c>
      <c r="K159" s="88" t="str">
        <f t="shared" si="4"/>
        <v>T</v>
      </c>
      <c r="L159" s="19"/>
      <c r="O159" s="1"/>
      <c r="P159" s="2"/>
      <c r="Q159" s="2"/>
      <c r="R159" s="14"/>
      <c r="S159" s="14"/>
      <c r="T159" s="2"/>
      <c r="U159" s="2"/>
      <c r="V159" s="2"/>
      <c r="W159" s="2" t="s">
        <v>43</v>
      </c>
    </row>
    <row r="160" spans="1:23" x14ac:dyDescent="0.2">
      <c r="A160" s="3"/>
      <c r="B160" s="219"/>
      <c r="C160" s="17" t="s">
        <v>14</v>
      </c>
      <c r="D160" s="203">
        <v>44369</v>
      </c>
      <c r="E160" s="203">
        <v>44613</v>
      </c>
      <c r="F160" s="51">
        <v>0.15058432999999999</v>
      </c>
      <c r="G160" s="51">
        <v>0.21032290000000001</v>
      </c>
      <c r="H160" s="51">
        <f t="shared" si="3"/>
        <v>5.9738570000000019E-2</v>
      </c>
      <c r="I160" s="213" t="s">
        <v>45</v>
      </c>
      <c r="J160" s="5" t="s">
        <v>43</v>
      </c>
      <c r="K160" s="88" t="str">
        <f t="shared" si="4"/>
        <v>F</v>
      </c>
      <c r="L160" s="19"/>
      <c r="O160" s="1"/>
      <c r="P160" s="2"/>
      <c r="Q160" s="2"/>
      <c r="R160" s="14"/>
      <c r="S160" s="14"/>
      <c r="T160" s="2"/>
      <c r="U160" s="2"/>
      <c r="V160" s="2"/>
      <c r="W160" s="2" t="s">
        <v>43</v>
      </c>
    </row>
    <row r="161" spans="1:23" x14ac:dyDescent="0.2">
      <c r="A161" s="3"/>
      <c r="B161" s="219"/>
      <c r="C161" s="17" t="s">
        <v>17</v>
      </c>
      <c r="D161" s="203">
        <v>44529</v>
      </c>
      <c r="E161" s="203">
        <v>45125</v>
      </c>
      <c r="F161" s="51">
        <v>0.15688845000000001</v>
      </c>
      <c r="G161" s="51">
        <v>0.25093300000000002</v>
      </c>
      <c r="H161" s="51">
        <f t="shared" si="3"/>
        <v>9.4044550000000005E-2</v>
      </c>
      <c r="I161" s="213" t="s">
        <v>45</v>
      </c>
      <c r="J161" s="5" t="s">
        <v>45</v>
      </c>
      <c r="K161" s="88" t="str">
        <f t="shared" si="4"/>
        <v>T</v>
      </c>
      <c r="L161" s="19"/>
      <c r="O161" s="1"/>
      <c r="P161" s="2"/>
      <c r="Q161" s="2"/>
      <c r="R161" s="14"/>
      <c r="S161" s="14"/>
      <c r="T161" s="2"/>
      <c r="U161" s="2"/>
      <c r="V161" s="2"/>
      <c r="W161" s="2" t="s">
        <v>43</v>
      </c>
    </row>
    <row r="162" spans="1:23" x14ac:dyDescent="0.2">
      <c r="A162" s="3"/>
      <c r="B162" s="219"/>
      <c r="C162" s="17" t="s">
        <v>18</v>
      </c>
      <c r="D162" s="203">
        <v>44531</v>
      </c>
      <c r="E162" s="203">
        <v>45088</v>
      </c>
      <c r="F162" s="51">
        <v>0.18278386999999999</v>
      </c>
      <c r="G162" s="51">
        <v>0.23508799999999999</v>
      </c>
      <c r="H162" s="51">
        <f t="shared" si="3"/>
        <v>5.2304130000000004E-2</v>
      </c>
      <c r="I162" s="213" t="s">
        <v>45</v>
      </c>
      <c r="J162" s="5" t="s">
        <v>45</v>
      </c>
      <c r="K162" s="88" t="str">
        <f t="shared" si="4"/>
        <v>T</v>
      </c>
      <c r="L162" s="19"/>
      <c r="O162" s="1"/>
      <c r="P162" s="2"/>
      <c r="Q162" s="2"/>
      <c r="R162" s="14"/>
      <c r="S162" s="14"/>
      <c r="T162" s="2"/>
      <c r="U162" s="2"/>
      <c r="V162" s="2"/>
      <c r="W162" s="2" t="s">
        <v>43</v>
      </c>
    </row>
    <row r="163" spans="1:23" x14ac:dyDescent="0.2">
      <c r="A163" s="3"/>
      <c r="B163" s="219"/>
      <c r="C163" s="17" t="s">
        <v>23</v>
      </c>
      <c r="D163" s="203">
        <v>44544</v>
      </c>
      <c r="E163" s="203">
        <v>45272</v>
      </c>
      <c r="F163" s="51">
        <v>0.19406496000000001</v>
      </c>
      <c r="G163" s="51">
        <v>0.30590270000000003</v>
      </c>
      <c r="H163" s="51">
        <f t="shared" si="3"/>
        <v>0.11183774000000002</v>
      </c>
      <c r="I163" s="213" t="s">
        <v>43</v>
      </c>
      <c r="J163" s="5" t="s">
        <v>43</v>
      </c>
      <c r="K163" s="88" t="str">
        <f t="shared" si="4"/>
        <v>T</v>
      </c>
      <c r="L163" s="19"/>
      <c r="O163" s="1"/>
      <c r="P163" s="2"/>
      <c r="Q163" s="2"/>
      <c r="R163" s="14"/>
      <c r="S163" s="14"/>
      <c r="T163" s="2"/>
      <c r="U163" s="2"/>
      <c r="V163" s="2"/>
      <c r="W163" s="2" t="s">
        <v>43</v>
      </c>
    </row>
    <row r="164" spans="1:23" x14ac:dyDescent="0.2">
      <c r="A164" s="3"/>
      <c r="B164" s="219"/>
      <c r="C164" s="17" t="s">
        <v>28</v>
      </c>
      <c r="D164" s="203">
        <v>44572</v>
      </c>
      <c r="E164" s="203">
        <v>45300</v>
      </c>
      <c r="F164" s="51">
        <v>0.20741962</v>
      </c>
      <c r="G164" s="51">
        <v>0.36234250000000001</v>
      </c>
      <c r="H164" s="51">
        <f t="shared" si="3"/>
        <v>0.15492288000000001</v>
      </c>
      <c r="I164" s="213" t="s">
        <v>43</v>
      </c>
      <c r="J164" s="5" t="s">
        <v>43</v>
      </c>
      <c r="K164" s="88" t="str">
        <f t="shared" si="4"/>
        <v>T</v>
      </c>
      <c r="L164" s="19"/>
      <c r="O164" s="1"/>
      <c r="P164" s="2"/>
      <c r="Q164" s="2"/>
      <c r="R164" s="14"/>
      <c r="S164" s="14"/>
      <c r="T164" s="2"/>
      <c r="U164" s="2"/>
      <c r="V164" s="2"/>
      <c r="W164" s="2" t="s">
        <v>43</v>
      </c>
    </row>
    <row r="165" spans="1:23" x14ac:dyDescent="0.2">
      <c r="A165" s="3"/>
      <c r="B165" s="219"/>
      <c r="C165" s="17" t="s">
        <v>25</v>
      </c>
      <c r="D165" s="203">
        <v>44678</v>
      </c>
      <c r="E165" s="203">
        <v>45432</v>
      </c>
      <c r="F165" s="51">
        <v>0.18359774000000001</v>
      </c>
      <c r="G165" s="51">
        <v>0.24649660000000001</v>
      </c>
      <c r="H165" s="51">
        <f t="shared" si="3"/>
        <v>6.2898860000000001E-2</v>
      </c>
      <c r="I165" s="213" t="s">
        <v>43</v>
      </c>
      <c r="J165" s="5" t="s">
        <v>43</v>
      </c>
      <c r="K165" s="88" t="str">
        <f t="shared" si="4"/>
        <v>T</v>
      </c>
      <c r="L165" s="19"/>
      <c r="O165" s="1"/>
      <c r="P165" s="2"/>
      <c r="Q165" s="2"/>
      <c r="R165" s="14"/>
      <c r="S165" s="14"/>
      <c r="T165" s="2"/>
      <c r="U165" s="2"/>
      <c r="V165" s="2"/>
      <c r="W165" s="2" t="s">
        <v>43</v>
      </c>
    </row>
    <row r="166" spans="1:23" x14ac:dyDescent="0.2">
      <c r="A166" s="3"/>
      <c r="B166" s="219"/>
      <c r="C166" s="17" t="s">
        <v>24</v>
      </c>
      <c r="D166" s="203">
        <v>44685</v>
      </c>
      <c r="E166" s="203">
        <v>45115</v>
      </c>
      <c r="F166" s="51">
        <v>0.18890768999999999</v>
      </c>
      <c r="G166" s="51">
        <v>0.30418790000000001</v>
      </c>
      <c r="H166" s="51">
        <f t="shared" si="3"/>
        <v>0.11528021000000002</v>
      </c>
      <c r="I166" s="213" t="s">
        <v>43</v>
      </c>
      <c r="J166" s="5" t="s">
        <v>43</v>
      </c>
      <c r="K166" s="88" t="str">
        <f t="shared" si="4"/>
        <v>T</v>
      </c>
      <c r="L166" s="19"/>
      <c r="O166" s="1"/>
      <c r="P166" s="2"/>
      <c r="Q166" s="2"/>
      <c r="R166" s="14"/>
      <c r="S166" s="14"/>
      <c r="T166" s="2"/>
      <c r="U166" s="2"/>
      <c r="V166" s="2"/>
      <c r="W166" s="2" t="s">
        <v>43</v>
      </c>
    </row>
    <row r="167" spans="1:23" x14ac:dyDescent="0.2">
      <c r="A167" s="3"/>
      <c r="B167" s="219"/>
      <c r="C167" s="17" t="s">
        <v>38</v>
      </c>
      <c r="D167" s="203">
        <v>44889</v>
      </c>
      <c r="E167" s="203">
        <v>45417</v>
      </c>
      <c r="F167" s="51">
        <v>0.24142638999999999</v>
      </c>
      <c r="G167" s="51">
        <v>0.51362949999999996</v>
      </c>
      <c r="H167" s="51">
        <f t="shared" si="3"/>
        <v>0.27220310999999997</v>
      </c>
      <c r="I167" s="213" t="s">
        <v>43</v>
      </c>
      <c r="J167" s="5" t="s">
        <v>43</v>
      </c>
      <c r="K167" s="88" t="str">
        <f t="shared" si="4"/>
        <v>T</v>
      </c>
      <c r="L167" s="19"/>
      <c r="O167" s="1"/>
      <c r="P167" s="2"/>
      <c r="Q167" s="2"/>
      <c r="R167" s="14"/>
      <c r="S167" s="14"/>
      <c r="T167" s="2"/>
      <c r="U167" s="2"/>
      <c r="V167" s="2"/>
      <c r="W167" s="2"/>
    </row>
    <row r="168" spans="1:23" x14ac:dyDescent="0.2">
      <c r="A168" s="3"/>
      <c r="B168" s="219"/>
      <c r="C168" s="17" t="s">
        <v>32</v>
      </c>
      <c r="D168" s="203">
        <v>44928</v>
      </c>
      <c r="E168" s="203">
        <v>45522</v>
      </c>
      <c r="F168" s="51">
        <v>0.23598308000000001</v>
      </c>
      <c r="G168" s="51">
        <v>0.64123629999999998</v>
      </c>
      <c r="H168" s="51">
        <f t="shared" si="3"/>
        <v>0.40525321999999997</v>
      </c>
      <c r="I168" s="213" t="s">
        <v>43</v>
      </c>
      <c r="J168" s="5" t="s">
        <v>43</v>
      </c>
      <c r="K168" s="88" t="str">
        <f t="shared" si="4"/>
        <v>T</v>
      </c>
      <c r="L168" s="19"/>
      <c r="O168" s="1"/>
      <c r="P168" s="2"/>
      <c r="Q168" s="2"/>
      <c r="R168" s="14"/>
      <c r="S168" s="14"/>
      <c r="T168" s="2"/>
      <c r="U168" s="2"/>
      <c r="V168" s="2"/>
      <c r="W168" s="2" t="s">
        <v>43</v>
      </c>
    </row>
    <row r="169" spans="1:23" x14ac:dyDescent="0.2">
      <c r="A169" s="3"/>
      <c r="B169" s="219"/>
      <c r="C169" s="17" t="s">
        <v>33</v>
      </c>
      <c r="D169" s="203">
        <v>45231</v>
      </c>
      <c r="E169" s="203">
        <v>45520</v>
      </c>
      <c r="F169" s="51">
        <v>0.19521844999999999</v>
      </c>
      <c r="G169" s="51">
        <v>0.27712589999999998</v>
      </c>
      <c r="H169" s="51">
        <f t="shared" si="3"/>
        <v>8.1907449999999993E-2</v>
      </c>
      <c r="I169" s="213" t="s">
        <v>43</v>
      </c>
      <c r="J169" s="5" t="s">
        <v>43</v>
      </c>
      <c r="K169" s="88" t="str">
        <f t="shared" si="4"/>
        <v>T</v>
      </c>
      <c r="L169" s="19"/>
      <c r="O169" s="1"/>
      <c r="P169" s="2"/>
      <c r="Q169" s="2"/>
      <c r="R169" s="14"/>
      <c r="S169" s="14"/>
      <c r="T169" s="2"/>
      <c r="U169" s="2"/>
      <c r="V169" s="2"/>
      <c r="W169" s="2" t="s">
        <v>43</v>
      </c>
    </row>
    <row r="170" spans="1:23" x14ac:dyDescent="0.2">
      <c r="A170" s="3"/>
      <c r="B170" s="221"/>
      <c r="C170" s="115" t="s">
        <v>411</v>
      </c>
      <c r="D170" s="202">
        <v>43913</v>
      </c>
      <c r="E170" s="202">
        <v>45492</v>
      </c>
      <c r="F170" s="117" t="s">
        <v>57</v>
      </c>
      <c r="G170" s="117" t="s">
        <v>57</v>
      </c>
      <c r="H170" s="117" t="s">
        <v>57</v>
      </c>
      <c r="I170" s="214" t="s">
        <v>57</v>
      </c>
      <c r="J170" s="214" t="s">
        <v>57</v>
      </c>
      <c r="K170" s="214" t="s">
        <v>57</v>
      </c>
      <c r="L170" s="19"/>
      <c r="O170" s="1"/>
      <c r="P170" s="2"/>
      <c r="Q170" s="2"/>
      <c r="R170" s="14"/>
      <c r="S170" s="14"/>
      <c r="T170" s="2"/>
      <c r="U170" s="2"/>
      <c r="V170" s="2"/>
      <c r="W170" s="2"/>
    </row>
    <row r="171" spans="1:23" x14ac:dyDescent="0.2">
      <c r="A171" s="3"/>
      <c r="B171" s="218" t="s">
        <v>73</v>
      </c>
      <c r="C171" s="17" t="s">
        <v>15</v>
      </c>
      <c r="D171" s="203">
        <v>43892</v>
      </c>
      <c r="E171" s="203">
        <v>45002</v>
      </c>
      <c r="F171" s="51">
        <v>0.25443812999999998</v>
      </c>
      <c r="G171" s="51">
        <v>0.48789549999999998</v>
      </c>
      <c r="H171" s="51">
        <f t="shared" si="3"/>
        <v>0.23345737</v>
      </c>
      <c r="I171" s="213" t="s">
        <v>43</v>
      </c>
      <c r="J171" s="5" t="s">
        <v>43</v>
      </c>
      <c r="K171" s="88" t="str">
        <f t="shared" si="4"/>
        <v>T</v>
      </c>
      <c r="L171" s="19"/>
      <c r="O171" s="1"/>
      <c r="P171" s="2"/>
      <c r="Q171" s="2"/>
      <c r="R171" s="14"/>
      <c r="S171" s="14"/>
      <c r="T171" s="2"/>
      <c r="U171" s="2"/>
      <c r="V171" s="2"/>
      <c r="W171" s="2" t="s">
        <v>43</v>
      </c>
    </row>
    <row r="172" spans="1:23" x14ac:dyDescent="0.2">
      <c r="A172" s="3"/>
      <c r="B172" s="219"/>
      <c r="C172" s="17" t="s">
        <v>369</v>
      </c>
      <c r="D172" s="203">
        <v>43892</v>
      </c>
      <c r="E172" s="203">
        <v>44692</v>
      </c>
      <c r="F172" s="51">
        <v>0.58312512000000005</v>
      </c>
      <c r="G172" s="51">
        <v>0.92945809999999995</v>
      </c>
      <c r="H172" s="51">
        <f t="shared" si="3"/>
        <v>0.3463329799999999</v>
      </c>
      <c r="I172" s="213" t="s">
        <v>43</v>
      </c>
      <c r="J172" s="5" t="s">
        <v>43</v>
      </c>
      <c r="K172" s="88" t="str">
        <f t="shared" si="4"/>
        <v>T</v>
      </c>
      <c r="L172" s="19"/>
      <c r="O172" s="1"/>
      <c r="P172" s="2"/>
      <c r="Q172" s="2"/>
      <c r="R172" s="14"/>
      <c r="S172" s="14"/>
      <c r="T172" s="2"/>
      <c r="U172" s="2"/>
      <c r="V172" s="2"/>
      <c r="W172" s="2" t="s">
        <v>43</v>
      </c>
    </row>
    <row r="173" spans="1:23" x14ac:dyDescent="0.2">
      <c r="A173" s="3"/>
      <c r="B173" s="219"/>
      <c r="C173" s="17" t="s">
        <v>370</v>
      </c>
      <c r="D173" s="203">
        <v>43946</v>
      </c>
      <c r="E173" s="203">
        <v>44119</v>
      </c>
      <c r="F173" s="51">
        <v>0.21309522</v>
      </c>
      <c r="G173" s="51">
        <v>0.30725619999999998</v>
      </c>
      <c r="H173" s="51">
        <f t="shared" si="3"/>
        <v>9.4160979999999977E-2</v>
      </c>
      <c r="I173" s="213" t="s">
        <v>45</v>
      </c>
      <c r="J173" s="5" t="s">
        <v>45</v>
      </c>
      <c r="K173" s="88" t="str">
        <f t="shared" si="4"/>
        <v>T</v>
      </c>
      <c r="L173" s="19"/>
      <c r="O173" s="1"/>
      <c r="P173" s="2"/>
      <c r="Q173" s="2"/>
      <c r="R173" s="14"/>
      <c r="S173" s="14"/>
      <c r="T173" s="2"/>
      <c r="U173" s="2"/>
      <c r="V173" s="2"/>
      <c r="W173" s="2" t="s">
        <v>43</v>
      </c>
    </row>
    <row r="174" spans="1:23" x14ac:dyDescent="0.2">
      <c r="A174" s="3"/>
      <c r="B174" s="219"/>
      <c r="C174" s="17" t="s">
        <v>19</v>
      </c>
      <c r="D174" s="203">
        <v>44141</v>
      </c>
      <c r="E174" s="203">
        <v>45154</v>
      </c>
      <c r="F174" s="51">
        <v>0.12267226000000001</v>
      </c>
      <c r="G174" s="51">
        <v>0.49371150000000003</v>
      </c>
      <c r="H174" s="51">
        <f t="shared" ref="H174:H237" si="5">G174-F174</f>
        <v>0.37103923999999999</v>
      </c>
      <c r="I174" s="213" t="s">
        <v>45</v>
      </c>
      <c r="J174" s="5" t="s">
        <v>43</v>
      </c>
      <c r="K174" s="88" t="str">
        <f t="shared" si="4"/>
        <v>F</v>
      </c>
      <c r="L174" s="19"/>
      <c r="O174" s="1"/>
      <c r="P174" s="2"/>
      <c r="Q174" s="2"/>
      <c r="R174" s="14"/>
      <c r="S174" s="14"/>
      <c r="T174" s="2"/>
      <c r="U174" s="2"/>
      <c r="V174" s="2"/>
      <c r="W174" s="2"/>
    </row>
    <row r="175" spans="1:23" x14ac:dyDescent="0.2">
      <c r="A175" s="3"/>
      <c r="B175" s="219"/>
      <c r="C175" s="17" t="s">
        <v>13</v>
      </c>
      <c r="D175" s="203">
        <v>44148</v>
      </c>
      <c r="E175" s="203">
        <v>44979</v>
      </c>
      <c r="F175" s="51">
        <v>0.22049679999999999</v>
      </c>
      <c r="G175" s="51">
        <v>0.22303919999999999</v>
      </c>
      <c r="H175" s="51">
        <f t="shared" si="5"/>
        <v>2.5424000000000002E-3</v>
      </c>
      <c r="I175" s="213" t="s">
        <v>43</v>
      </c>
      <c r="J175" s="5" t="s">
        <v>43</v>
      </c>
      <c r="K175" s="88" t="str">
        <f t="shared" si="4"/>
        <v>T</v>
      </c>
      <c r="L175" s="19"/>
      <c r="O175" s="1"/>
      <c r="P175" s="2"/>
      <c r="Q175" s="2"/>
      <c r="R175" s="14"/>
      <c r="S175" s="14"/>
      <c r="T175" s="2"/>
      <c r="U175" s="2"/>
      <c r="V175" s="2"/>
      <c r="W175" s="2" t="s">
        <v>43</v>
      </c>
    </row>
    <row r="176" spans="1:23" x14ac:dyDescent="0.2">
      <c r="A176" s="3"/>
      <c r="B176" s="219"/>
      <c r="C176" s="17" t="s">
        <v>14</v>
      </c>
      <c r="D176" s="203">
        <v>44155</v>
      </c>
      <c r="E176" s="203">
        <v>44912</v>
      </c>
      <c r="F176" s="51">
        <v>0.26479194</v>
      </c>
      <c r="G176" s="51">
        <v>0.46669159999999998</v>
      </c>
      <c r="H176" s="51">
        <f t="shared" si="5"/>
        <v>0.20189965999999998</v>
      </c>
      <c r="I176" s="213" t="s">
        <v>43</v>
      </c>
      <c r="J176" s="5" t="s">
        <v>43</v>
      </c>
      <c r="K176" s="88" t="str">
        <f t="shared" si="4"/>
        <v>T</v>
      </c>
      <c r="L176" s="19"/>
      <c r="O176" s="1"/>
      <c r="P176" s="2"/>
      <c r="Q176" s="2"/>
      <c r="R176" s="14"/>
      <c r="S176" s="14"/>
      <c r="T176" s="2"/>
      <c r="U176" s="2"/>
      <c r="V176" s="2"/>
      <c r="W176" s="2" t="s">
        <v>43</v>
      </c>
    </row>
    <row r="177" spans="1:23" x14ac:dyDescent="0.2">
      <c r="A177" s="3"/>
      <c r="B177" s="219"/>
      <c r="C177" s="17" t="s">
        <v>18</v>
      </c>
      <c r="D177" s="203">
        <v>44218</v>
      </c>
      <c r="E177" s="203">
        <v>45003</v>
      </c>
      <c r="F177" s="51">
        <v>0.11126161</v>
      </c>
      <c r="G177" s="51">
        <v>0.24070949999999999</v>
      </c>
      <c r="H177" s="51">
        <f t="shared" si="5"/>
        <v>0.12944789000000001</v>
      </c>
      <c r="I177" s="213" t="s">
        <v>45</v>
      </c>
      <c r="J177" s="5" t="s">
        <v>45</v>
      </c>
      <c r="K177" s="88" t="str">
        <f t="shared" si="4"/>
        <v>T</v>
      </c>
      <c r="L177" s="19"/>
      <c r="O177" s="1"/>
      <c r="P177" s="2"/>
      <c r="Q177" s="2"/>
      <c r="R177" s="14"/>
      <c r="S177" s="14"/>
      <c r="T177" s="2"/>
      <c r="U177" s="2"/>
      <c r="V177" s="2"/>
      <c r="W177" s="2"/>
    </row>
    <row r="178" spans="1:23" x14ac:dyDescent="0.2">
      <c r="A178" s="3"/>
      <c r="B178" s="219"/>
      <c r="C178" s="17" t="s">
        <v>20</v>
      </c>
      <c r="D178" s="203">
        <v>44242</v>
      </c>
      <c r="E178" s="203">
        <v>45492</v>
      </c>
      <c r="F178" s="51">
        <v>0.29853132999999998</v>
      </c>
      <c r="G178" s="51">
        <v>0.6793188</v>
      </c>
      <c r="H178" s="51">
        <f t="shared" si="5"/>
        <v>0.38078747000000002</v>
      </c>
      <c r="I178" s="213" t="s">
        <v>45</v>
      </c>
      <c r="J178" s="5" t="s">
        <v>43</v>
      </c>
      <c r="K178" s="88" t="str">
        <f t="shared" si="4"/>
        <v>F</v>
      </c>
      <c r="L178" s="52"/>
      <c r="M178" s="3"/>
      <c r="N178" s="2"/>
      <c r="O178" s="1"/>
      <c r="P178" s="2"/>
      <c r="Q178" s="2"/>
      <c r="R178" s="14"/>
      <c r="S178" s="14"/>
      <c r="T178" s="2"/>
      <c r="U178" s="2"/>
      <c r="V178" s="2"/>
      <c r="W178" s="2" t="s">
        <v>43</v>
      </c>
    </row>
    <row r="179" spans="1:23" x14ac:dyDescent="0.2">
      <c r="A179" s="3"/>
      <c r="B179" s="219"/>
      <c r="C179" s="17" t="s">
        <v>23</v>
      </c>
      <c r="D179" s="203">
        <v>44391</v>
      </c>
      <c r="E179" s="203">
        <v>45349</v>
      </c>
      <c r="F179" s="51">
        <v>0.15781592</v>
      </c>
      <c r="G179" s="51">
        <v>0.20582810000000001</v>
      </c>
      <c r="H179" s="51">
        <f t="shared" si="5"/>
        <v>4.8012180000000015E-2</v>
      </c>
      <c r="I179" s="213" t="s">
        <v>43</v>
      </c>
      <c r="J179" s="5" t="s">
        <v>43</v>
      </c>
      <c r="K179" s="88" t="str">
        <f t="shared" si="4"/>
        <v>T</v>
      </c>
      <c r="L179" s="52"/>
      <c r="O179" s="1"/>
      <c r="P179" s="2"/>
      <c r="Q179" s="2"/>
      <c r="R179" s="14"/>
      <c r="S179" s="14"/>
      <c r="T179" s="2"/>
      <c r="U179" s="2"/>
      <c r="V179" s="2"/>
      <c r="W179" s="2" t="s">
        <v>43</v>
      </c>
    </row>
    <row r="180" spans="1:23" x14ac:dyDescent="0.2">
      <c r="A180" s="3"/>
      <c r="B180" s="219"/>
      <c r="C180" s="17" t="s">
        <v>24</v>
      </c>
      <c r="D180" s="203">
        <v>44393</v>
      </c>
      <c r="E180" s="203">
        <v>45454</v>
      </c>
      <c r="F180" s="51">
        <v>0.26980750999999997</v>
      </c>
      <c r="G180" s="51">
        <v>0.42271740000000002</v>
      </c>
      <c r="H180" s="51">
        <f t="shared" si="5"/>
        <v>0.15290989000000005</v>
      </c>
      <c r="I180" s="213" t="s">
        <v>43</v>
      </c>
      <c r="J180" s="5" t="s">
        <v>43</v>
      </c>
      <c r="K180" s="88" t="str">
        <f t="shared" si="4"/>
        <v>T</v>
      </c>
      <c r="L180" s="52"/>
      <c r="O180" s="1"/>
      <c r="P180" s="2"/>
      <c r="Q180" s="2"/>
      <c r="R180" s="14"/>
      <c r="S180" s="14"/>
      <c r="T180" s="2"/>
      <c r="U180" s="2"/>
      <c r="V180" s="2"/>
      <c r="W180" s="2" t="s">
        <v>43</v>
      </c>
    </row>
    <row r="181" spans="1:23" x14ac:dyDescent="0.2">
      <c r="A181" s="3"/>
      <c r="B181" s="219"/>
      <c r="C181" s="17" t="s">
        <v>25</v>
      </c>
      <c r="D181" s="203">
        <v>44393</v>
      </c>
      <c r="E181" s="203">
        <v>45113</v>
      </c>
      <c r="F181" s="51">
        <v>0.14606991</v>
      </c>
      <c r="G181" s="51">
        <v>0.20438010000000001</v>
      </c>
      <c r="H181" s="51">
        <f t="shared" si="5"/>
        <v>5.8310190000000012E-2</v>
      </c>
      <c r="I181" s="213" t="s">
        <v>43</v>
      </c>
      <c r="J181" s="5" t="s">
        <v>43</v>
      </c>
      <c r="K181" s="88" t="str">
        <f t="shared" si="4"/>
        <v>T</v>
      </c>
      <c r="L181" s="19"/>
      <c r="O181" s="1"/>
      <c r="P181" s="2"/>
      <c r="Q181" s="2"/>
      <c r="R181" s="14"/>
      <c r="S181" s="14"/>
      <c r="T181" s="2"/>
      <c r="U181" s="2"/>
      <c r="V181" s="2"/>
      <c r="W181" s="2" t="s">
        <v>43</v>
      </c>
    </row>
    <row r="182" spans="1:23" x14ac:dyDescent="0.2">
      <c r="A182" s="3"/>
      <c r="B182" s="219"/>
      <c r="C182" s="17" t="s">
        <v>28</v>
      </c>
      <c r="D182" s="203">
        <v>44393</v>
      </c>
      <c r="E182" s="203">
        <v>45376</v>
      </c>
      <c r="F182" s="51">
        <v>0.3187547</v>
      </c>
      <c r="G182" s="51">
        <v>0.54962149999999999</v>
      </c>
      <c r="H182" s="51">
        <f t="shared" si="5"/>
        <v>0.23086679999999998</v>
      </c>
      <c r="I182" s="213" t="s">
        <v>45</v>
      </c>
      <c r="J182" s="5" t="s">
        <v>43</v>
      </c>
      <c r="K182" s="88" t="str">
        <f t="shared" si="4"/>
        <v>F</v>
      </c>
      <c r="L182" s="19"/>
      <c r="O182" s="1"/>
      <c r="P182" s="2"/>
      <c r="Q182" s="2"/>
      <c r="R182" s="14"/>
      <c r="S182" s="14"/>
      <c r="T182" s="2"/>
      <c r="U182" s="2"/>
      <c r="V182" s="2"/>
      <c r="W182" s="2"/>
    </row>
    <row r="183" spans="1:23" x14ac:dyDescent="0.2">
      <c r="A183" s="3"/>
      <c r="B183" s="219"/>
      <c r="C183" s="17" t="s">
        <v>32</v>
      </c>
      <c r="D183" s="203">
        <v>44393</v>
      </c>
      <c r="E183" s="203">
        <v>45513</v>
      </c>
      <c r="F183" s="51">
        <v>0.27243552999999998</v>
      </c>
      <c r="G183" s="51">
        <v>0.88335260000000004</v>
      </c>
      <c r="H183" s="51">
        <f t="shared" si="5"/>
        <v>0.61091707000000006</v>
      </c>
      <c r="I183" s="213" t="s">
        <v>45</v>
      </c>
      <c r="J183" s="5" t="s">
        <v>43</v>
      </c>
      <c r="K183" s="88" t="str">
        <f t="shared" ref="K183:K246" si="6">IF(I183=J183,"T","F")</f>
        <v>F</v>
      </c>
      <c r="L183" s="19"/>
    </row>
    <row r="184" spans="1:23" x14ac:dyDescent="0.2">
      <c r="A184" s="3"/>
      <c r="B184" s="219"/>
      <c r="C184" s="17" t="s">
        <v>38</v>
      </c>
      <c r="D184" s="203">
        <v>44393</v>
      </c>
      <c r="E184" s="203">
        <v>45491</v>
      </c>
      <c r="F184" s="51">
        <v>0.31389553999999997</v>
      </c>
      <c r="G184" s="51">
        <v>0.53606869999999995</v>
      </c>
      <c r="H184" s="51">
        <f t="shared" si="5"/>
        <v>0.22217315999999998</v>
      </c>
      <c r="I184" s="213" t="s">
        <v>43</v>
      </c>
      <c r="J184" s="5" t="s">
        <v>43</v>
      </c>
      <c r="K184" s="88" t="str">
        <f t="shared" si="6"/>
        <v>T</v>
      </c>
      <c r="L184" s="19"/>
    </row>
    <row r="185" spans="1:23" x14ac:dyDescent="0.2">
      <c r="A185" s="3"/>
      <c r="B185" s="221"/>
      <c r="C185" s="115" t="s">
        <v>412</v>
      </c>
      <c r="D185" s="202">
        <v>43893</v>
      </c>
      <c r="E185" s="202">
        <v>45490</v>
      </c>
      <c r="F185" s="117" t="s">
        <v>57</v>
      </c>
      <c r="G185" s="117" t="s">
        <v>57</v>
      </c>
      <c r="H185" s="117" t="s">
        <v>57</v>
      </c>
      <c r="I185" s="214" t="s">
        <v>57</v>
      </c>
      <c r="J185" s="214" t="s">
        <v>57</v>
      </c>
      <c r="K185" s="214" t="s">
        <v>57</v>
      </c>
      <c r="L185" s="19"/>
    </row>
    <row r="186" spans="1:23" x14ac:dyDescent="0.2">
      <c r="A186" s="3"/>
      <c r="B186" s="218" t="s">
        <v>74</v>
      </c>
      <c r="C186" s="17" t="s">
        <v>75</v>
      </c>
      <c r="D186" s="203">
        <v>44008</v>
      </c>
      <c r="E186" s="203">
        <v>44720</v>
      </c>
      <c r="F186" s="51">
        <v>0.3248685</v>
      </c>
      <c r="G186" s="51">
        <v>0.58468160000000002</v>
      </c>
      <c r="H186" s="51">
        <f t="shared" si="5"/>
        <v>0.25981310000000002</v>
      </c>
      <c r="I186" s="213" t="s">
        <v>43</v>
      </c>
      <c r="J186" s="5" t="s">
        <v>43</v>
      </c>
      <c r="K186" s="88" t="str">
        <f t="shared" si="6"/>
        <v>T</v>
      </c>
      <c r="L186" s="19"/>
    </row>
    <row r="187" spans="1:23" x14ac:dyDescent="0.2">
      <c r="A187" s="3"/>
      <c r="B187" s="219"/>
      <c r="C187" s="17" t="s">
        <v>35</v>
      </c>
      <c r="D187" s="203">
        <v>44050</v>
      </c>
      <c r="E187" s="203">
        <v>44767</v>
      </c>
      <c r="F187" s="51">
        <v>0.54994714</v>
      </c>
      <c r="G187" s="51">
        <v>0.8511204</v>
      </c>
      <c r="H187" s="51">
        <f t="shared" si="5"/>
        <v>0.30117326</v>
      </c>
      <c r="I187" s="213" t="s">
        <v>43</v>
      </c>
      <c r="J187" s="5" t="s">
        <v>43</v>
      </c>
      <c r="K187" s="88" t="str">
        <f t="shared" si="6"/>
        <v>T</v>
      </c>
      <c r="L187" s="19"/>
    </row>
    <row r="188" spans="1:23" x14ac:dyDescent="0.2">
      <c r="A188" s="3"/>
      <c r="B188" s="219"/>
      <c r="C188" s="17" t="s">
        <v>17</v>
      </c>
      <c r="D188" s="203">
        <v>44058</v>
      </c>
      <c r="E188" s="203">
        <v>45297</v>
      </c>
      <c r="F188" s="51">
        <v>0.30230258999999998</v>
      </c>
      <c r="G188" s="51">
        <v>0.4260254</v>
      </c>
      <c r="H188" s="51">
        <f t="shared" si="5"/>
        <v>0.12372281000000002</v>
      </c>
      <c r="I188" s="213" t="s">
        <v>45</v>
      </c>
      <c r="J188" s="5" t="s">
        <v>43</v>
      </c>
      <c r="K188" s="88" t="str">
        <f t="shared" si="6"/>
        <v>F</v>
      </c>
      <c r="L188" s="19"/>
    </row>
    <row r="189" spans="1:23" x14ac:dyDescent="0.2">
      <c r="A189" s="3"/>
      <c r="B189" s="219"/>
      <c r="C189" s="17" t="s">
        <v>18</v>
      </c>
      <c r="D189" s="203">
        <v>44208</v>
      </c>
      <c r="E189" s="203">
        <v>44987</v>
      </c>
      <c r="F189" s="51">
        <v>0.34180174000000002</v>
      </c>
      <c r="G189" s="51">
        <v>0.41600169999999997</v>
      </c>
      <c r="H189" s="51">
        <f t="shared" si="5"/>
        <v>7.4199959999999954E-2</v>
      </c>
      <c r="I189" s="213" t="s">
        <v>43</v>
      </c>
      <c r="J189" s="5" t="s">
        <v>43</v>
      </c>
      <c r="K189" s="88" t="str">
        <f t="shared" si="6"/>
        <v>T</v>
      </c>
      <c r="L189" s="19"/>
    </row>
    <row r="190" spans="1:23" x14ac:dyDescent="0.2">
      <c r="A190" s="3"/>
      <c r="B190" s="219"/>
      <c r="C190" s="17" t="s">
        <v>76</v>
      </c>
      <c r="D190" s="203">
        <v>44255</v>
      </c>
      <c r="E190" s="203">
        <v>45096</v>
      </c>
      <c r="F190" s="51">
        <v>0.25223023999999999</v>
      </c>
      <c r="G190" s="51">
        <v>0.59711760000000003</v>
      </c>
      <c r="H190" s="51">
        <f t="shared" si="5"/>
        <v>0.34488736000000003</v>
      </c>
      <c r="I190" s="213" t="s">
        <v>43</v>
      </c>
      <c r="J190" s="5" t="s">
        <v>43</v>
      </c>
      <c r="K190" s="88" t="str">
        <f t="shared" si="6"/>
        <v>T</v>
      </c>
      <c r="L190" s="19"/>
    </row>
    <row r="191" spans="1:23" x14ac:dyDescent="0.2">
      <c r="A191" s="3"/>
      <c r="B191" s="219"/>
      <c r="C191" s="17" t="s">
        <v>20</v>
      </c>
      <c r="D191" s="203">
        <v>44517</v>
      </c>
      <c r="E191" s="203">
        <v>45338</v>
      </c>
      <c r="F191" s="51">
        <v>0.25902625000000001</v>
      </c>
      <c r="G191" s="51">
        <v>0.7039841</v>
      </c>
      <c r="H191" s="51">
        <f t="shared" si="5"/>
        <v>0.44495784999999999</v>
      </c>
      <c r="I191" s="213" t="s">
        <v>43</v>
      </c>
      <c r="J191" s="5" t="s">
        <v>43</v>
      </c>
      <c r="K191" s="88" t="str">
        <f t="shared" si="6"/>
        <v>T</v>
      </c>
      <c r="L191" s="19"/>
    </row>
    <row r="192" spans="1:23" x14ac:dyDescent="0.2">
      <c r="A192" s="3"/>
      <c r="B192" s="219"/>
      <c r="C192" s="17" t="s">
        <v>24</v>
      </c>
      <c r="D192" s="203">
        <v>44567</v>
      </c>
      <c r="E192" s="203">
        <v>45026</v>
      </c>
      <c r="F192" s="51">
        <v>0.18902915000000001</v>
      </c>
      <c r="G192" s="51">
        <v>0.28653119999999999</v>
      </c>
      <c r="H192" s="51">
        <f t="shared" si="5"/>
        <v>9.7502049999999979E-2</v>
      </c>
      <c r="I192" s="213" t="s">
        <v>43</v>
      </c>
      <c r="J192" s="5" t="s">
        <v>43</v>
      </c>
      <c r="K192" s="88" t="str">
        <f t="shared" si="6"/>
        <v>T</v>
      </c>
      <c r="L192" s="19"/>
    </row>
    <row r="193" spans="1:12" x14ac:dyDescent="0.2">
      <c r="A193" s="3"/>
      <c r="B193" s="219"/>
      <c r="C193" s="17" t="s">
        <v>26</v>
      </c>
      <c r="D193" s="203">
        <v>44567</v>
      </c>
      <c r="E193" s="203">
        <v>45251</v>
      </c>
      <c r="F193" s="51">
        <v>0.27009033999999998</v>
      </c>
      <c r="G193" s="51">
        <v>0.47652250000000002</v>
      </c>
      <c r="H193" s="51">
        <f t="shared" si="5"/>
        <v>0.20643216000000003</v>
      </c>
      <c r="I193" s="213" t="s">
        <v>43</v>
      </c>
      <c r="J193" s="5" t="s">
        <v>43</v>
      </c>
      <c r="K193" s="88" t="str">
        <f t="shared" si="6"/>
        <v>T</v>
      </c>
      <c r="L193" s="19"/>
    </row>
    <row r="194" spans="1:12" x14ac:dyDescent="0.2">
      <c r="A194" s="3"/>
      <c r="B194" s="219"/>
      <c r="C194" s="17" t="s">
        <v>28</v>
      </c>
      <c r="D194" s="203">
        <v>44731</v>
      </c>
      <c r="E194" s="203">
        <v>45080</v>
      </c>
      <c r="F194" s="51">
        <v>0.35931035</v>
      </c>
      <c r="G194" s="51">
        <v>0.59900900000000001</v>
      </c>
      <c r="H194" s="51">
        <f t="shared" si="5"/>
        <v>0.23969865000000001</v>
      </c>
      <c r="I194" s="213" t="s">
        <v>43</v>
      </c>
      <c r="J194" s="5" t="s">
        <v>43</v>
      </c>
      <c r="K194" s="88" t="str">
        <f t="shared" si="6"/>
        <v>T</v>
      </c>
      <c r="L194" s="19"/>
    </row>
    <row r="195" spans="1:12" x14ac:dyDescent="0.2">
      <c r="A195" s="3"/>
      <c r="B195" s="219"/>
      <c r="C195" s="17" t="s">
        <v>394</v>
      </c>
      <c r="D195" s="203">
        <v>44740</v>
      </c>
      <c r="E195" s="203">
        <v>45257</v>
      </c>
      <c r="F195" s="51">
        <v>0.19633529</v>
      </c>
      <c r="G195" s="51">
        <v>0.2956646</v>
      </c>
      <c r="H195" s="51">
        <f t="shared" si="5"/>
        <v>9.9329310000000004E-2</v>
      </c>
      <c r="I195" s="213" t="s">
        <v>43</v>
      </c>
      <c r="J195" s="5" t="s">
        <v>43</v>
      </c>
      <c r="K195" s="88" t="str">
        <f t="shared" si="6"/>
        <v>T</v>
      </c>
      <c r="L195" s="19"/>
    </row>
    <row r="196" spans="1:12" x14ac:dyDescent="0.2">
      <c r="A196" s="3"/>
      <c r="B196" s="219"/>
      <c r="C196" s="17" t="s">
        <v>395</v>
      </c>
      <c r="D196" s="203">
        <v>44789</v>
      </c>
      <c r="E196" s="203">
        <v>45019</v>
      </c>
      <c r="F196" s="51">
        <v>0.22565305999999999</v>
      </c>
      <c r="G196" s="51">
        <v>0.20166780000000001</v>
      </c>
      <c r="H196" s="51">
        <f t="shared" si="5"/>
        <v>-2.398525999999998E-2</v>
      </c>
      <c r="I196" s="213" t="s">
        <v>45</v>
      </c>
      <c r="J196" s="5" t="s">
        <v>45</v>
      </c>
      <c r="K196" s="88" t="str">
        <f t="shared" si="6"/>
        <v>T</v>
      </c>
      <c r="L196" s="19"/>
    </row>
    <row r="197" spans="1:12" x14ac:dyDescent="0.2">
      <c r="A197" s="3"/>
      <c r="B197" s="219"/>
      <c r="C197" s="17" t="s">
        <v>396</v>
      </c>
      <c r="D197" s="203">
        <v>44860</v>
      </c>
      <c r="E197" s="203">
        <v>45190</v>
      </c>
      <c r="F197" s="51">
        <v>0.14867644999999999</v>
      </c>
      <c r="G197" s="51">
        <v>0.23775769999999999</v>
      </c>
      <c r="H197" s="51">
        <f t="shared" si="5"/>
        <v>8.9081250000000001E-2</v>
      </c>
      <c r="I197" s="213" t="s">
        <v>43</v>
      </c>
      <c r="J197" s="5" t="s">
        <v>43</v>
      </c>
      <c r="K197" s="88" t="str">
        <f t="shared" si="6"/>
        <v>T</v>
      </c>
      <c r="L197" s="19"/>
    </row>
    <row r="198" spans="1:12" x14ac:dyDescent="0.2">
      <c r="A198" s="3"/>
      <c r="B198" s="219"/>
      <c r="C198" s="17" t="s">
        <v>38</v>
      </c>
      <c r="D198" s="203">
        <v>44874</v>
      </c>
      <c r="E198" s="203">
        <v>45317</v>
      </c>
      <c r="F198" s="51">
        <v>0.16423325999999999</v>
      </c>
      <c r="G198" s="51">
        <v>0.31812049999999997</v>
      </c>
      <c r="H198" s="51">
        <f t="shared" si="5"/>
        <v>0.15388723999999998</v>
      </c>
      <c r="I198" s="213" t="s">
        <v>43</v>
      </c>
      <c r="J198" s="5" t="s">
        <v>43</v>
      </c>
      <c r="K198" s="88" t="str">
        <f t="shared" si="6"/>
        <v>T</v>
      </c>
      <c r="L198" s="19"/>
    </row>
    <row r="199" spans="1:12" x14ac:dyDescent="0.2">
      <c r="A199" s="3"/>
      <c r="B199" s="219"/>
      <c r="C199" s="17" t="s">
        <v>397</v>
      </c>
      <c r="D199" s="203">
        <v>44906</v>
      </c>
      <c r="E199" s="203">
        <v>45190</v>
      </c>
      <c r="F199" s="51">
        <v>0.37712034</v>
      </c>
      <c r="G199" s="51">
        <v>0.42025220000000002</v>
      </c>
      <c r="H199" s="51">
        <f t="shared" si="5"/>
        <v>4.3131860000000022E-2</v>
      </c>
      <c r="I199" s="213" t="s">
        <v>45</v>
      </c>
      <c r="J199" s="5" t="s">
        <v>45</v>
      </c>
      <c r="K199" s="88" t="str">
        <f t="shared" si="6"/>
        <v>T</v>
      </c>
      <c r="L199" s="19"/>
    </row>
    <row r="200" spans="1:12" x14ac:dyDescent="0.2">
      <c r="A200" s="3"/>
      <c r="B200" s="219"/>
      <c r="C200" s="17" t="s">
        <v>398</v>
      </c>
      <c r="D200" s="203">
        <v>45009</v>
      </c>
      <c r="E200" s="203">
        <v>45343</v>
      </c>
      <c r="F200" s="51">
        <v>0.16012409999999999</v>
      </c>
      <c r="G200" s="51">
        <v>0.2373469</v>
      </c>
      <c r="H200" s="51">
        <f t="shared" si="5"/>
        <v>7.7222800000000008E-2</v>
      </c>
      <c r="I200" s="213" t="s">
        <v>43</v>
      </c>
      <c r="J200" s="5" t="s">
        <v>43</v>
      </c>
      <c r="K200" s="88" t="str">
        <f t="shared" si="6"/>
        <v>T</v>
      </c>
      <c r="L200" s="19"/>
    </row>
    <row r="201" spans="1:12" x14ac:dyDescent="0.2">
      <c r="A201" s="3"/>
      <c r="B201" s="219"/>
      <c r="C201" s="17" t="s">
        <v>399</v>
      </c>
      <c r="D201" s="203">
        <v>45069</v>
      </c>
      <c r="E201" s="203">
        <v>45328</v>
      </c>
      <c r="F201" s="51">
        <v>0.15634556999999999</v>
      </c>
      <c r="G201" s="51">
        <v>0.28174320000000003</v>
      </c>
      <c r="H201" s="51">
        <f t="shared" si="5"/>
        <v>0.12539763000000004</v>
      </c>
      <c r="I201" s="213" t="s">
        <v>43</v>
      </c>
      <c r="J201" s="5" t="s">
        <v>43</v>
      </c>
      <c r="K201" s="88" t="str">
        <f t="shared" si="6"/>
        <v>T</v>
      </c>
      <c r="L201" s="19"/>
    </row>
    <row r="202" spans="1:12" x14ac:dyDescent="0.2">
      <c r="A202" s="3"/>
      <c r="B202" s="219"/>
      <c r="C202" s="17" t="s">
        <v>78</v>
      </c>
      <c r="D202" s="203">
        <v>45104</v>
      </c>
      <c r="E202" s="203">
        <v>45357</v>
      </c>
      <c r="F202" s="51">
        <v>0.28227475000000002</v>
      </c>
      <c r="G202" s="51">
        <v>0.37813540000000001</v>
      </c>
      <c r="H202" s="51">
        <f t="shared" si="5"/>
        <v>9.5860649999999992E-2</v>
      </c>
      <c r="I202" s="213" t="s">
        <v>43</v>
      </c>
      <c r="J202" s="5" t="s">
        <v>43</v>
      </c>
      <c r="K202" s="88" t="str">
        <f t="shared" si="6"/>
        <v>T</v>
      </c>
      <c r="L202" s="19"/>
    </row>
    <row r="203" spans="1:12" x14ac:dyDescent="0.2">
      <c r="A203" s="3"/>
      <c r="B203" s="219"/>
      <c r="C203" s="17" t="s">
        <v>165</v>
      </c>
      <c r="D203" s="203">
        <v>45218</v>
      </c>
      <c r="E203" s="203">
        <v>45359</v>
      </c>
      <c r="F203" s="51">
        <v>0.18941553</v>
      </c>
      <c r="G203" s="51">
        <v>0.22437850000000001</v>
      </c>
      <c r="H203" s="51">
        <f t="shared" si="5"/>
        <v>3.496297000000001E-2</v>
      </c>
      <c r="I203" s="213" t="s">
        <v>45</v>
      </c>
      <c r="J203" s="5" t="s">
        <v>45</v>
      </c>
      <c r="K203" s="88" t="str">
        <f t="shared" si="6"/>
        <v>T</v>
      </c>
      <c r="L203" s="19"/>
    </row>
    <row r="204" spans="1:12" x14ac:dyDescent="0.2">
      <c r="A204" s="3"/>
      <c r="B204" s="221"/>
      <c r="C204" s="115" t="s">
        <v>413</v>
      </c>
      <c r="D204" s="202">
        <v>43983</v>
      </c>
      <c r="E204" s="202">
        <v>45361</v>
      </c>
      <c r="F204" s="117" t="s">
        <v>57</v>
      </c>
      <c r="G204" s="117" t="s">
        <v>57</v>
      </c>
      <c r="H204" s="117" t="s">
        <v>57</v>
      </c>
      <c r="I204" s="214" t="s">
        <v>57</v>
      </c>
      <c r="J204" s="214" t="s">
        <v>57</v>
      </c>
      <c r="K204" s="214" t="s">
        <v>57</v>
      </c>
      <c r="L204" s="19"/>
    </row>
    <row r="205" spans="1:12" x14ac:dyDescent="0.2">
      <c r="A205" s="3"/>
      <c r="B205" s="218" t="s">
        <v>79</v>
      </c>
      <c r="C205" s="17" t="s">
        <v>382</v>
      </c>
      <c r="D205" s="203">
        <v>43900</v>
      </c>
      <c r="E205" s="203">
        <v>44642</v>
      </c>
      <c r="F205" s="51">
        <v>0.15391887000000001</v>
      </c>
      <c r="G205" s="51">
        <v>0.23984359999999999</v>
      </c>
      <c r="H205" s="51">
        <f t="shared" si="5"/>
        <v>8.5924729999999977E-2</v>
      </c>
      <c r="I205" s="213" t="s">
        <v>43</v>
      </c>
      <c r="J205" s="5" t="s">
        <v>43</v>
      </c>
      <c r="K205" s="88" t="str">
        <f t="shared" si="6"/>
        <v>T</v>
      </c>
      <c r="L205" s="19"/>
    </row>
    <row r="206" spans="1:12" x14ac:dyDescent="0.2">
      <c r="A206" s="3"/>
      <c r="B206" s="219"/>
      <c r="C206" s="17" t="s">
        <v>36</v>
      </c>
      <c r="D206" s="203">
        <v>43900</v>
      </c>
      <c r="E206" s="203">
        <v>44424</v>
      </c>
      <c r="F206" s="51">
        <v>0.27965277999999999</v>
      </c>
      <c r="G206" s="51">
        <v>0.66190479999999996</v>
      </c>
      <c r="H206" s="51">
        <f t="shared" si="5"/>
        <v>0.38225201999999997</v>
      </c>
      <c r="I206" s="213" t="s">
        <v>43</v>
      </c>
      <c r="J206" s="5" t="s">
        <v>43</v>
      </c>
      <c r="K206" s="88" t="str">
        <f t="shared" si="6"/>
        <v>T</v>
      </c>
      <c r="L206" s="19"/>
    </row>
    <row r="207" spans="1:12" x14ac:dyDescent="0.2">
      <c r="A207" s="3"/>
      <c r="B207" s="219"/>
      <c r="C207" s="17" t="s">
        <v>400</v>
      </c>
      <c r="D207" s="203">
        <v>43906</v>
      </c>
      <c r="E207" s="203">
        <v>44866</v>
      </c>
      <c r="F207" s="51">
        <v>0.13762979</v>
      </c>
      <c r="G207" s="51">
        <v>0.2047254</v>
      </c>
      <c r="H207" s="51">
        <f t="shared" si="5"/>
        <v>6.709561E-2</v>
      </c>
      <c r="I207" s="213" t="s">
        <v>45</v>
      </c>
      <c r="J207" s="5" t="s">
        <v>45</v>
      </c>
      <c r="K207" s="88" t="str">
        <f t="shared" si="6"/>
        <v>T</v>
      </c>
      <c r="L207" s="19"/>
    </row>
    <row r="208" spans="1:12" x14ac:dyDescent="0.2">
      <c r="A208" s="3"/>
      <c r="B208" s="219"/>
      <c r="C208" s="17" t="s">
        <v>80</v>
      </c>
      <c r="D208" s="203">
        <v>43909</v>
      </c>
      <c r="E208" s="203">
        <v>44152</v>
      </c>
      <c r="F208" s="51">
        <v>0.79905866999999997</v>
      </c>
      <c r="G208" s="51">
        <v>0.99169929999999995</v>
      </c>
      <c r="H208" s="51">
        <f t="shared" si="5"/>
        <v>0.19264062999999998</v>
      </c>
      <c r="I208" s="213" t="s">
        <v>43</v>
      </c>
      <c r="J208" s="5" t="s">
        <v>43</v>
      </c>
      <c r="K208" s="88" t="str">
        <f t="shared" si="6"/>
        <v>T</v>
      </c>
      <c r="L208" s="19"/>
    </row>
    <row r="209" spans="1:12" x14ac:dyDescent="0.2">
      <c r="A209" s="3"/>
      <c r="B209" s="219"/>
      <c r="C209" s="17" t="s">
        <v>81</v>
      </c>
      <c r="D209" s="203">
        <v>44372</v>
      </c>
      <c r="E209" s="203">
        <v>44726</v>
      </c>
      <c r="F209" s="51">
        <v>0.26750159000000001</v>
      </c>
      <c r="G209" s="51">
        <v>0.53287030000000002</v>
      </c>
      <c r="H209" s="51">
        <f t="shared" si="5"/>
        <v>0.26536871000000001</v>
      </c>
      <c r="I209" s="213" t="s">
        <v>43</v>
      </c>
      <c r="J209" s="5" t="s">
        <v>43</v>
      </c>
      <c r="K209" s="88" t="str">
        <f t="shared" si="6"/>
        <v>T</v>
      </c>
      <c r="L209" s="19"/>
    </row>
    <row r="210" spans="1:12" x14ac:dyDescent="0.2">
      <c r="A210" s="3"/>
      <c r="B210" s="219"/>
      <c r="C210" s="17" t="s">
        <v>401</v>
      </c>
      <c r="D210" s="203">
        <v>44402</v>
      </c>
      <c r="E210" s="203">
        <v>44551</v>
      </c>
      <c r="F210" s="51">
        <v>0.14861867000000001</v>
      </c>
      <c r="G210" s="51">
        <v>0.20878269999999999</v>
      </c>
      <c r="H210" s="51">
        <f t="shared" si="5"/>
        <v>6.0164029999999979E-2</v>
      </c>
      <c r="I210" s="213" t="s">
        <v>45</v>
      </c>
      <c r="J210" s="5" t="s">
        <v>45</v>
      </c>
      <c r="K210" s="88" t="str">
        <f t="shared" si="6"/>
        <v>T</v>
      </c>
      <c r="L210" s="19"/>
    </row>
    <row r="211" spans="1:12" x14ac:dyDescent="0.2">
      <c r="A211" s="3"/>
      <c r="B211" s="219"/>
      <c r="C211" s="17" t="s">
        <v>402</v>
      </c>
      <c r="D211" s="203">
        <v>44453</v>
      </c>
      <c r="E211" s="203">
        <v>44605</v>
      </c>
      <c r="F211" s="51">
        <v>0.13045259000000001</v>
      </c>
      <c r="G211" s="51">
        <v>0.29828300000000002</v>
      </c>
      <c r="H211" s="51">
        <f t="shared" si="5"/>
        <v>0.16783041000000001</v>
      </c>
      <c r="I211" s="213" t="s">
        <v>45</v>
      </c>
      <c r="J211" s="5" t="s">
        <v>45</v>
      </c>
      <c r="K211" s="88" t="str">
        <f t="shared" si="6"/>
        <v>T</v>
      </c>
      <c r="L211" s="19"/>
    </row>
    <row r="212" spans="1:12" x14ac:dyDescent="0.2">
      <c r="A212" s="3"/>
      <c r="B212" s="219"/>
      <c r="C212" s="17" t="s">
        <v>20</v>
      </c>
      <c r="D212" s="203">
        <v>44531</v>
      </c>
      <c r="E212" s="203">
        <v>45503</v>
      </c>
      <c r="F212" s="51">
        <v>0.29122276000000002</v>
      </c>
      <c r="G212" s="51">
        <v>0.6902973</v>
      </c>
      <c r="H212" s="51">
        <f t="shared" si="5"/>
        <v>0.39907453999999998</v>
      </c>
      <c r="I212" s="213" t="s">
        <v>43</v>
      </c>
      <c r="J212" s="5" t="s">
        <v>43</v>
      </c>
      <c r="K212" s="88" t="str">
        <f t="shared" si="6"/>
        <v>T</v>
      </c>
      <c r="L212" s="19"/>
    </row>
    <row r="213" spans="1:12" x14ac:dyDescent="0.2">
      <c r="A213" s="3"/>
      <c r="B213" s="219"/>
      <c r="C213" s="17" t="s">
        <v>403</v>
      </c>
      <c r="D213" s="203">
        <v>44572</v>
      </c>
      <c r="E213" s="203">
        <v>45097</v>
      </c>
      <c r="F213" s="51">
        <v>0.14418109000000001</v>
      </c>
      <c r="G213" s="51">
        <v>0.20925569999999999</v>
      </c>
      <c r="H213" s="51">
        <f t="shared" si="5"/>
        <v>6.5074609999999977E-2</v>
      </c>
      <c r="I213" s="213" t="s">
        <v>43</v>
      </c>
      <c r="J213" s="5" t="s">
        <v>43</v>
      </c>
      <c r="K213" s="88" t="str">
        <f t="shared" si="6"/>
        <v>T</v>
      </c>
      <c r="L213" s="19"/>
    </row>
    <row r="214" spans="1:12" x14ac:dyDescent="0.2">
      <c r="A214" s="3"/>
      <c r="B214" s="219"/>
      <c r="C214" s="17" t="s">
        <v>25</v>
      </c>
      <c r="D214" s="203">
        <v>44579</v>
      </c>
      <c r="E214" s="203">
        <v>45167</v>
      </c>
      <c r="F214" s="51">
        <v>0.26834097000000001</v>
      </c>
      <c r="G214" s="51">
        <v>0.31732460000000001</v>
      </c>
      <c r="H214" s="51">
        <f t="shared" si="5"/>
        <v>4.898363E-2</v>
      </c>
      <c r="I214" s="213" t="s">
        <v>43</v>
      </c>
      <c r="J214" s="5" t="s">
        <v>43</v>
      </c>
      <c r="K214" s="88" t="str">
        <f t="shared" si="6"/>
        <v>T</v>
      </c>
      <c r="L214" s="19"/>
    </row>
    <row r="215" spans="1:12" x14ac:dyDescent="0.2">
      <c r="A215" s="3"/>
      <c r="B215" s="219"/>
      <c r="C215" s="17" t="s">
        <v>26</v>
      </c>
      <c r="D215" s="203">
        <v>44610</v>
      </c>
      <c r="E215" s="203">
        <v>45029</v>
      </c>
      <c r="F215" s="51">
        <v>0.24632762</v>
      </c>
      <c r="G215" s="51">
        <v>0.2941957</v>
      </c>
      <c r="H215" s="51">
        <f t="shared" si="5"/>
        <v>4.7868080000000007E-2</v>
      </c>
      <c r="I215" s="213" t="s">
        <v>43</v>
      </c>
      <c r="J215" s="5" t="s">
        <v>43</v>
      </c>
      <c r="K215" s="88" t="str">
        <f t="shared" si="6"/>
        <v>T</v>
      </c>
      <c r="L215" s="19"/>
    </row>
    <row r="216" spans="1:12" x14ac:dyDescent="0.2">
      <c r="A216" s="3"/>
      <c r="B216" s="219"/>
      <c r="C216" s="17" t="s">
        <v>164</v>
      </c>
      <c r="D216" s="203">
        <v>44779</v>
      </c>
      <c r="E216" s="203">
        <v>45201</v>
      </c>
      <c r="F216" s="51">
        <v>0.21484818999999999</v>
      </c>
      <c r="G216" s="51">
        <v>0.3534311</v>
      </c>
      <c r="H216" s="51">
        <f t="shared" si="5"/>
        <v>0.13858291</v>
      </c>
      <c r="I216" s="213" t="s">
        <v>43</v>
      </c>
      <c r="J216" s="5" t="s">
        <v>43</v>
      </c>
      <c r="K216" s="88" t="str">
        <f t="shared" si="6"/>
        <v>T</v>
      </c>
      <c r="L216" s="19"/>
    </row>
    <row r="217" spans="1:12" x14ac:dyDescent="0.2">
      <c r="A217" s="3"/>
      <c r="B217" s="219"/>
      <c r="C217" s="17" t="s">
        <v>38</v>
      </c>
      <c r="D217" s="203">
        <v>44856</v>
      </c>
      <c r="E217" s="203">
        <v>45370</v>
      </c>
      <c r="F217" s="51">
        <v>0.16086007999999999</v>
      </c>
      <c r="G217" s="51">
        <v>0.30434909999999998</v>
      </c>
      <c r="H217" s="51">
        <f t="shared" si="5"/>
        <v>0.14348901999999999</v>
      </c>
      <c r="I217" s="213" t="s">
        <v>43</v>
      </c>
      <c r="J217" s="5" t="s">
        <v>43</v>
      </c>
      <c r="K217" s="88" t="str">
        <f t="shared" si="6"/>
        <v>T</v>
      </c>
      <c r="L217" s="19"/>
    </row>
    <row r="218" spans="1:12" x14ac:dyDescent="0.2">
      <c r="A218" s="3"/>
      <c r="B218" s="219"/>
      <c r="C218" s="17" t="s">
        <v>30</v>
      </c>
      <c r="D218" s="203">
        <v>44930</v>
      </c>
      <c r="E218" s="203">
        <v>45415</v>
      </c>
      <c r="F218" s="51">
        <v>0.23145824000000001</v>
      </c>
      <c r="G218" s="51">
        <v>0.3108205</v>
      </c>
      <c r="H218" s="51">
        <f t="shared" si="5"/>
        <v>7.936225999999999E-2</v>
      </c>
      <c r="I218" s="213" t="s">
        <v>43</v>
      </c>
      <c r="J218" s="5" t="s">
        <v>43</v>
      </c>
      <c r="K218" s="88" t="str">
        <f t="shared" si="6"/>
        <v>T</v>
      </c>
      <c r="L218" s="19"/>
    </row>
    <row r="219" spans="1:12" x14ac:dyDescent="0.2">
      <c r="A219" s="3"/>
      <c r="B219" s="219"/>
      <c r="C219" s="17" t="s">
        <v>32</v>
      </c>
      <c r="D219" s="203">
        <v>44943</v>
      </c>
      <c r="E219" s="203">
        <v>45520</v>
      </c>
      <c r="F219" s="51">
        <v>0.37315232999999998</v>
      </c>
      <c r="G219" s="51">
        <v>0.76185650000000005</v>
      </c>
      <c r="H219" s="51">
        <f t="shared" si="5"/>
        <v>0.38870417000000007</v>
      </c>
      <c r="I219" s="213" t="s">
        <v>43</v>
      </c>
      <c r="J219" s="5" t="s">
        <v>43</v>
      </c>
      <c r="K219" s="88" t="str">
        <f t="shared" si="6"/>
        <v>T</v>
      </c>
      <c r="L219" s="19"/>
    </row>
    <row r="220" spans="1:12" x14ac:dyDescent="0.2">
      <c r="A220" s="3"/>
      <c r="B220" s="219"/>
      <c r="C220" s="17" t="s">
        <v>404</v>
      </c>
      <c r="D220" s="203">
        <v>44943</v>
      </c>
      <c r="E220" s="203">
        <v>45333</v>
      </c>
      <c r="F220" s="51">
        <v>0.12743726999999999</v>
      </c>
      <c r="G220" s="51">
        <v>0.2373034</v>
      </c>
      <c r="H220" s="51">
        <f t="shared" si="5"/>
        <v>0.10986613000000001</v>
      </c>
      <c r="I220" s="213" t="s">
        <v>45</v>
      </c>
      <c r="J220" s="5" t="s">
        <v>43</v>
      </c>
      <c r="K220" s="88" t="str">
        <f t="shared" si="6"/>
        <v>F</v>
      </c>
      <c r="L220" s="19"/>
    </row>
    <row r="221" spans="1:12" x14ac:dyDescent="0.2">
      <c r="A221" s="3"/>
      <c r="B221" s="219"/>
      <c r="C221" s="17" t="s">
        <v>37</v>
      </c>
      <c r="D221" s="203">
        <v>44985</v>
      </c>
      <c r="E221" s="203">
        <v>45297</v>
      </c>
      <c r="F221" s="51">
        <v>0.22686247000000001</v>
      </c>
      <c r="G221" s="51">
        <v>0.26622689999999999</v>
      </c>
      <c r="H221" s="51">
        <f t="shared" si="5"/>
        <v>3.9364429999999978E-2</v>
      </c>
      <c r="I221" s="213" t="s">
        <v>43</v>
      </c>
      <c r="J221" s="5" t="s">
        <v>43</v>
      </c>
      <c r="K221" s="88" t="str">
        <f t="shared" si="6"/>
        <v>T</v>
      </c>
      <c r="L221" s="19"/>
    </row>
    <row r="222" spans="1:12" x14ac:dyDescent="0.2">
      <c r="A222" s="3"/>
      <c r="B222" s="221"/>
      <c r="C222" s="115" t="s">
        <v>414</v>
      </c>
      <c r="D222" s="202">
        <v>43899</v>
      </c>
      <c r="E222" s="202">
        <v>45474</v>
      </c>
      <c r="F222" s="117" t="s">
        <v>57</v>
      </c>
      <c r="G222" s="117" t="s">
        <v>57</v>
      </c>
      <c r="H222" s="117" t="s">
        <v>57</v>
      </c>
      <c r="I222" s="214" t="s">
        <v>57</v>
      </c>
      <c r="J222" s="214" t="s">
        <v>57</v>
      </c>
      <c r="K222" s="214" t="s">
        <v>57</v>
      </c>
      <c r="L222" s="19"/>
    </row>
    <row r="223" spans="1:12" x14ac:dyDescent="0.2">
      <c r="A223" s="3"/>
      <c r="B223" s="218" t="s">
        <v>48</v>
      </c>
      <c r="C223" s="17" t="s">
        <v>151</v>
      </c>
      <c r="D223" s="203">
        <v>44249</v>
      </c>
      <c r="E223" s="203">
        <v>44460</v>
      </c>
      <c r="F223" s="51">
        <v>0.31781386</v>
      </c>
      <c r="G223" s="51">
        <v>0.4606924</v>
      </c>
      <c r="H223" s="51">
        <f t="shared" si="5"/>
        <v>0.14287854</v>
      </c>
      <c r="I223" s="213" t="s">
        <v>43</v>
      </c>
      <c r="J223" s="5" t="s">
        <v>43</v>
      </c>
      <c r="K223" s="88" t="str">
        <f t="shared" si="6"/>
        <v>T</v>
      </c>
      <c r="L223" s="19"/>
    </row>
    <row r="224" spans="1:12" x14ac:dyDescent="0.2">
      <c r="A224" s="3"/>
      <c r="B224" s="219"/>
      <c r="C224" s="17" t="s">
        <v>9</v>
      </c>
      <c r="D224" s="203">
        <v>44308</v>
      </c>
      <c r="E224" s="203">
        <v>45118</v>
      </c>
      <c r="F224" s="51">
        <v>0.19315600999999999</v>
      </c>
      <c r="G224" s="51">
        <v>0.39782459999999997</v>
      </c>
      <c r="H224" s="51">
        <f t="shared" si="5"/>
        <v>0.20466858999999998</v>
      </c>
      <c r="I224" s="213" t="s">
        <v>43</v>
      </c>
      <c r="J224" s="5" t="s">
        <v>43</v>
      </c>
      <c r="K224" s="88" t="str">
        <f t="shared" si="6"/>
        <v>T</v>
      </c>
      <c r="L224" s="19"/>
    </row>
    <row r="225" spans="1:12" x14ac:dyDescent="0.2">
      <c r="A225" s="3"/>
      <c r="B225" s="219"/>
      <c r="C225" s="17" t="s">
        <v>49</v>
      </c>
      <c r="D225" s="203">
        <v>44331</v>
      </c>
      <c r="E225" s="203">
        <v>44602</v>
      </c>
      <c r="F225" s="51">
        <v>0.25800644</v>
      </c>
      <c r="G225" s="51">
        <v>0.60630249999999997</v>
      </c>
      <c r="H225" s="51">
        <f t="shared" si="5"/>
        <v>0.34829605999999996</v>
      </c>
      <c r="I225" s="213" t="s">
        <v>43</v>
      </c>
      <c r="J225" s="5" t="s">
        <v>43</v>
      </c>
      <c r="K225" s="88" t="str">
        <f t="shared" si="6"/>
        <v>T</v>
      </c>
      <c r="L225" s="19"/>
    </row>
    <row r="226" spans="1:12" x14ac:dyDescent="0.2">
      <c r="A226" s="3"/>
      <c r="B226" s="219"/>
      <c r="C226" s="17" t="s">
        <v>152</v>
      </c>
      <c r="D226" s="203">
        <v>44416</v>
      </c>
      <c r="E226" s="203">
        <v>44624</v>
      </c>
      <c r="F226" s="51">
        <v>0.20476762000000001</v>
      </c>
      <c r="G226" s="51">
        <v>0.4533548</v>
      </c>
      <c r="H226" s="51">
        <f t="shared" si="5"/>
        <v>0.24858717999999999</v>
      </c>
      <c r="I226" s="213" t="s">
        <v>43</v>
      </c>
      <c r="J226" s="5" t="s">
        <v>43</v>
      </c>
      <c r="K226" s="88" t="str">
        <f t="shared" si="6"/>
        <v>T</v>
      </c>
      <c r="L226" s="19"/>
    </row>
    <row r="227" spans="1:12" x14ac:dyDescent="0.2">
      <c r="A227" s="3"/>
      <c r="B227" s="219"/>
      <c r="C227" s="17" t="s">
        <v>18</v>
      </c>
      <c r="D227" s="203">
        <v>44524</v>
      </c>
      <c r="E227" s="203">
        <v>44746</v>
      </c>
      <c r="F227" s="51">
        <v>0.42519624</v>
      </c>
      <c r="G227" s="51">
        <v>0.63999280000000003</v>
      </c>
      <c r="H227" s="51">
        <f t="shared" si="5"/>
        <v>0.21479656000000003</v>
      </c>
      <c r="I227" s="213" t="s">
        <v>45</v>
      </c>
      <c r="J227" s="5" t="s">
        <v>45</v>
      </c>
      <c r="K227" s="88" t="str">
        <f t="shared" si="6"/>
        <v>T</v>
      </c>
      <c r="L227" s="19"/>
    </row>
    <row r="228" spans="1:12" x14ac:dyDescent="0.2">
      <c r="A228" s="3"/>
      <c r="B228" s="219"/>
      <c r="C228" s="17" t="s">
        <v>22</v>
      </c>
      <c r="D228" s="203">
        <v>44559</v>
      </c>
      <c r="E228" s="203">
        <v>45000</v>
      </c>
      <c r="F228" s="51">
        <v>0.20758124</v>
      </c>
      <c r="G228" s="51">
        <v>0.3324608</v>
      </c>
      <c r="H228" s="51">
        <f t="shared" si="5"/>
        <v>0.12487956</v>
      </c>
      <c r="I228" s="213" t="s">
        <v>43</v>
      </c>
      <c r="J228" s="5" t="s">
        <v>43</v>
      </c>
      <c r="K228" s="88" t="str">
        <f t="shared" si="6"/>
        <v>T</v>
      </c>
      <c r="L228" s="19"/>
    </row>
    <row r="229" spans="1:12" x14ac:dyDescent="0.2">
      <c r="A229" s="3"/>
      <c r="B229" s="219"/>
      <c r="C229" s="17" t="s">
        <v>26</v>
      </c>
      <c r="D229" s="203">
        <v>44691</v>
      </c>
      <c r="E229" s="203">
        <v>45031</v>
      </c>
      <c r="F229" s="51">
        <v>0.13440408000000001</v>
      </c>
      <c r="G229" s="51">
        <v>0.2443496</v>
      </c>
      <c r="H229" s="51">
        <f t="shared" si="5"/>
        <v>0.10994551999999999</v>
      </c>
      <c r="I229" s="213" t="s">
        <v>45</v>
      </c>
      <c r="J229" s="5" t="s">
        <v>43</v>
      </c>
      <c r="K229" s="88" t="str">
        <f t="shared" si="6"/>
        <v>F</v>
      </c>
      <c r="L229" s="19"/>
    </row>
    <row r="230" spans="1:12" x14ac:dyDescent="0.2">
      <c r="A230" s="3"/>
      <c r="B230" s="219"/>
      <c r="C230" s="17" t="s">
        <v>25</v>
      </c>
      <c r="D230" s="203">
        <v>44692</v>
      </c>
      <c r="E230" s="203">
        <v>45313</v>
      </c>
      <c r="F230" s="51">
        <v>0.23622291000000001</v>
      </c>
      <c r="G230" s="51">
        <v>0.38716840000000002</v>
      </c>
      <c r="H230" s="51">
        <f t="shared" si="5"/>
        <v>0.15094549000000002</v>
      </c>
      <c r="I230" s="213" t="s">
        <v>43</v>
      </c>
      <c r="J230" s="5" t="s">
        <v>43</v>
      </c>
      <c r="K230" s="88" t="str">
        <f t="shared" si="6"/>
        <v>T</v>
      </c>
      <c r="L230" s="19"/>
    </row>
    <row r="231" spans="1:12" x14ac:dyDescent="0.2">
      <c r="A231" s="3"/>
      <c r="B231" s="219"/>
      <c r="C231" s="17" t="s">
        <v>38</v>
      </c>
      <c r="D231" s="203">
        <v>44888</v>
      </c>
      <c r="E231" s="203">
        <v>45271</v>
      </c>
      <c r="F231" s="51">
        <v>0.13767728000000001</v>
      </c>
      <c r="G231" s="51">
        <v>0.20545240000000001</v>
      </c>
      <c r="H231" s="51">
        <f t="shared" si="5"/>
        <v>6.7775119999999994E-2</v>
      </c>
      <c r="I231" s="213" t="s">
        <v>43</v>
      </c>
      <c r="J231" s="5" t="s">
        <v>43</v>
      </c>
      <c r="K231" s="88" t="str">
        <f t="shared" si="6"/>
        <v>T</v>
      </c>
      <c r="L231" s="19"/>
    </row>
    <row r="232" spans="1:12" x14ac:dyDescent="0.2">
      <c r="A232" s="3"/>
      <c r="B232" s="219"/>
      <c r="C232" s="17" t="s">
        <v>367</v>
      </c>
      <c r="D232" s="203">
        <v>45062</v>
      </c>
      <c r="E232" s="203">
        <v>45378</v>
      </c>
      <c r="F232" s="51">
        <v>0.14053526</v>
      </c>
      <c r="G232" s="51">
        <v>0.228547</v>
      </c>
      <c r="H232" s="51">
        <f t="shared" si="5"/>
        <v>8.8011740000000005E-2</v>
      </c>
      <c r="I232" s="213" t="s">
        <v>43</v>
      </c>
      <c r="J232" s="5" t="s">
        <v>43</v>
      </c>
      <c r="K232" s="88" t="str">
        <f t="shared" si="6"/>
        <v>T</v>
      </c>
      <c r="L232" s="19"/>
    </row>
    <row r="233" spans="1:12" x14ac:dyDescent="0.2">
      <c r="A233" s="3"/>
      <c r="B233" s="219"/>
      <c r="C233" s="17" t="s">
        <v>30</v>
      </c>
      <c r="D233" s="203">
        <v>45111</v>
      </c>
      <c r="E233" s="203">
        <v>45397</v>
      </c>
      <c r="F233" s="51">
        <v>0.24535665000000001</v>
      </c>
      <c r="G233" s="51">
        <v>0.60618000000000005</v>
      </c>
      <c r="H233" s="51">
        <f t="shared" si="5"/>
        <v>0.36082335000000004</v>
      </c>
      <c r="I233" s="213" t="s">
        <v>43</v>
      </c>
      <c r="J233" s="5" t="s">
        <v>43</v>
      </c>
      <c r="K233" s="88" t="str">
        <f t="shared" si="6"/>
        <v>T</v>
      </c>
      <c r="L233" s="19"/>
    </row>
    <row r="234" spans="1:12" x14ac:dyDescent="0.2">
      <c r="A234" s="3"/>
      <c r="B234" s="219"/>
      <c r="C234" s="17" t="s">
        <v>32</v>
      </c>
      <c r="D234" s="203">
        <v>45223</v>
      </c>
      <c r="E234" s="203">
        <v>45410</v>
      </c>
      <c r="F234" s="51">
        <v>0.21276758000000001</v>
      </c>
      <c r="G234" s="51">
        <v>0.54583879999999996</v>
      </c>
      <c r="H234" s="51">
        <f t="shared" si="5"/>
        <v>0.33307121999999995</v>
      </c>
      <c r="I234" s="213" t="s">
        <v>45</v>
      </c>
      <c r="J234" s="5" t="s">
        <v>43</v>
      </c>
      <c r="K234" s="88" t="str">
        <f t="shared" si="6"/>
        <v>F</v>
      </c>
      <c r="L234" s="19"/>
    </row>
    <row r="235" spans="1:12" x14ac:dyDescent="0.2">
      <c r="A235" s="3"/>
      <c r="B235" s="221"/>
      <c r="C235" s="115" t="s">
        <v>177</v>
      </c>
      <c r="D235" s="202">
        <v>44235</v>
      </c>
      <c r="E235" s="202">
        <v>45342</v>
      </c>
      <c r="F235" s="117" t="s">
        <v>57</v>
      </c>
      <c r="G235" s="117" t="s">
        <v>57</v>
      </c>
      <c r="H235" s="117" t="s">
        <v>57</v>
      </c>
      <c r="I235" s="214" t="s">
        <v>57</v>
      </c>
      <c r="J235" s="214" t="s">
        <v>57</v>
      </c>
      <c r="K235" s="214" t="s">
        <v>57</v>
      </c>
      <c r="L235" s="19"/>
    </row>
    <row r="236" spans="1:12" x14ac:dyDescent="0.2">
      <c r="A236" s="3"/>
      <c r="B236" s="218" t="s">
        <v>82</v>
      </c>
      <c r="C236" s="17" t="s">
        <v>166</v>
      </c>
      <c r="D236" s="203">
        <v>43948</v>
      </c>
      <c r="E236" s="203">
        <v>44536</v>
      </c>
      <c r="F236" s="51">
        <v>0.14538071</v>
      </c>
      <c r="G236" s="51">
        <v>0.48164859999999998</v>
      </c>
      <c r="H236" s="51">
        <f t="shared" si="5"/>
        <v>0.33626789000000001</v>
      </c>
      <c r="I236" s="213" t="s">
        <v>45</v>
      </c>
      <c r="J236" s="5" t="s">
        <v>43</v>
      </c>
      <c r="K236" s="88" t="str">
        <f t="shared" si="6"/>
        <v>F</v>
      </c>
      <c r="L236" s="19"/>
    </row>
    <row r="237" spans="1:12" x14ac:dyDescent="0.2">
      <c r="A237" s="3"/>
      <c r="B237" s="219"/>
      <c r="C237" s="17" t="s">
        <v>15</v>
      </c>
      <c r="D237" s="203">
        <v>43948</v>
      </c>
      <c r="E237" s="203">
        <v>45077</v>
      </c>
      <c r="F237" s="51">
        <v>0.13402771999999999</v>
      </c>
      <c r="G237" s="51">
        <v>0.21790109999999999</v>
      </c>
      <c r="H237" s="51">
        <f t="shared" si="5"/>
        <v>8.3873379999999997E-2</v>
      </c>
      <c r="I237" s="213" t="s">
        <v>43</v>
      </c>
      <c r="J237" s="5" t="s">
        <v>43</v>
      </c>
      <c r="K237" s="88" t="str">
        <f t="shared" si="6"/>
        <v>T</v>
      </c>
      <c r="L237" s="19"/>
    </row>
    <row r="238" spans="1:12" x14ac:dyDescent="0.2">
      <c r="A238" s="3"/>
      <c r="B238" s="219"/>
      <c r="C238" s="17" t="s">
        <v>167</v>
      </c>
      <c r="D238" s="203">
        <v>43949</v>
      </c>
      <c r="E238" s="203">
        <v>44751</v>
      </c>
      <c r="F238" s="51">
        <v>0.20414623000000001</v>
      </c>
      <c r="G238" s="51">
        <v>0.43769999999999998</v>
      </c>
      <c r="H238" s="51">
        <f t="shared" ref="H238:H275" si="7">G238-F238</f>
        <v>0.23355376999999997</v>
      </c>
      <c r="I238" s="213" t="s">
        <v>45</v>
      </c>
      <c r="J238" s="5" t="s">
        <v>43</v>
      </c>
      <c r="K238" s="88" t="str">
        <f t="shared" si="6"/>
        <v>F</v>
      </c>
      <c r="L238" s="19"/>
    </row>
    <row r="239" spans="1:12" x14ac:dyDescent="0.2">
      <c r="A239" s="3"/>
      <c r="B239" s="219"/>
      <c r="C239" s="17" t="s">
        <v>9</v>
      </c>
      <c r="D239" s="203">
        <v>43952</v>
      </c>
      <c r="E239" s="203">
        <v>44935</v>
      </c>
      <c r="F239" s="51">
        <v>0.48014236999999999</v>
      </c>
      <c r="G239" s="51">
        <v>0.87448150000000002</v>
      </c>
      <c r="H239" s="51">
        <f t="shared" si="7"/>
        <v>0.39433913000000004</v>
      </c>
      <c r="I239" s="213" t="s">
        <v>43</v>
      </c>
      <c r="J239" s="5" t="s">
        <v>43</v>
      </c>
      <c r="K239" s="88" t="str">
        <f t="shared" si="6"/>
        <v>T</v>
      </c>
      <c r="L239" s="19"/>
    </row>
    <row r="240" spans="1:12" x14ac:dyDescent="0.2">
      <c r="A240" s="3"/>
      <c r="B240" s="219"/>
      <c r="C240" s="17" t="s">
        <v>374</v>
      </c>
      <c r="D240" s="203">
        <v>44009</v>
      </c>
      <c r="E240" s="203">
        <v>44501</v>
      </c>
      <c r="F240" s="51">
        <v>0.16683667999999999</v>
      </c>
      <c r="G240" s="51">
        <v>0.28499600000000003</v>
      </c>
      <c r="H240" s="51">
        <f t="shared" si="7"/>
        <v>0.11815932000000004</v>
      </c>
      <c r="I240" s="213" t="s">
        <v>45</v>
      </c>
      <c r="J240" s="5" t="s">
        <v>43</v>
      </c>
      <c r="K240" s="88" t="str">
        <f t="shared" si="6"/>
        <v>F</v>
      </c>
      <c r="L240" s="19"/>
    </row>
    <row r="241" spans="1:12" x14ac:dyDescent="0.2">
      <c r="A241" s="3"/>
      <c r="B241" s="219"/>
      <c r="C241" s="17" t="s">
        <v>20</v>
      </c>
      <c r="D241" s="203">
        <v>44044</v>
      </c>
      <c r="E241" s="203">
        <v>45301</v>
      </c>
      <c r="F241" s="51">
        <v>0.48477863999999998</v>
      </c>
      <c r="G241" s="51">
        <v>0.74231899999999995</v>
      </c>
      <c r="H241" s="51">
        <f t="shared" si="7"/>
        <v>0.25754035999999997</v>
      </c>
      <c r="I241" s="213" t="s">
        <v>43</v>
      </c>
      <c r="J241" s="5" t="s">
        <v>43</v>
      </c>
      <c r="K241" s="88" t="str">
        <f t="shared" si="6"/>
        <v>T</v>
      </c>
      <c r="L241" s="19"/>
    </row>
    <row r="242" spans="1:12" x14ac:dyDescent="0.2">
      <c r="A242" s="3"/>
      <c r="B242" s="219"/>
      <c r="C242" s="17" t="s">
        <v>83</v>
      </c>
      <c r="D242" s="203">
        <v>44051</v>
      </c>
      <c r="E242" s="203">
        <v>45019</v>
      </c>
      <c r="F242" s="51">
        <v>0.24307403999999999</v>
      </c>
      <c r="G242" s="51">
        <v>0.2344397</v>
      </c>
      <c r="H242" s="51">
        <f t="shared" si="7"/>
        <v>-8.6343399999999904E-3</v>
      </c>
      <c r="I242" s="213" t="s">
        <v>45</v>
      </c>
      <c r="J242" s="5" t="s">
        <v>43</v>
      </c>
      <c r="K242" s="88" t="str">
        <f t="shared" si="6"/>
        <v>F</v>
      </c>
      <c r="L242" s="19"/>
    </row>
    <row r="243" spans="1:12" x14ac:dyDescent="0.2">
      <c r="A243" s="3"/>
      <c r="B243" s="219"/>
      <c r="C243" s="17" t="s">
        <v>375</v>
      </c>
      <c r="D243" s="203">
        <v>44051</v>
      </c>
      <c r="E243" s="203">
        <v>44998</v>
      </c>
      <c r="F243" s="51">
        <v>0.24307403999999999</v>
      </c>
      <c r="G243" s="51">
        <v>0.25611879999999998</v>
      </c>
      <c r="H243" s="51">
        <f t="shared" si="7"/>
        <v>1.3044759999999989E-2</v>
      </c>
      <c r="I243" s="213" t="s">
        <v>45</v>
      </c>
      <c r="J243" s="5" t="s">
        <v>45</v>
      </c>
      <c r="K243" s="88" t="str">
        <f t="shared" si="6"/>
        <v>T</v>
      </c>
      <c r="L243" s="19"/>
    </row>
    <row r="244" spans="1:12" x14ac:dyDescent="0.2">
      <c r="A244" s="3"/>
      <c r="B244" s="219"/>
      <c r="C244" s="17" t="s">
        <v>36</v>
      </c>
      <c r="D244" s="203">
        <v>44131</v>
      </c>
      <c r="E244" s="203">
        <v>44526</v>
      </c>
      <c r="F244" s="51">
        <v>0.20703049000000001</v>
      </c>
      <c r="G244" s="51">
        <v>0.27609470000000003</v>
      </c>
      <c r="H244" s="51">
        <f t="shared" si="7"/>
        <v>6.9064210000000015E-2</v>
      </c>
      <c r="I244" s="213" t="s">
        <v>45</v>
      </c>
      <c r="J244" s="5" t="s">
        <v>45</v>
      </c>
      <c r="K244" s="88" t="str">
        <f t="shared" si="6"/>
        <v>T</v>
      </c>
      <c r="L244" s="19"/>
    </row>
    <row r="245" spans="1:12" x14ac:dyDescent="0.2">
      <c r="A245" s="3"/>
      <c r="B245" s="219"/>
      <c r="C245" s="17" t="s">
        <v>376</v>
      </c>
      <c r="D245" s="203">
        <v>44166</v>
      </c>
      <c r="E245" s="203">
        <v>44687</v>
      </c>
      <c r="F245" s="51">
        <v>0.22784256</v>
      </c>
      <c r="G245" s="51">
        <v>0.200018</v>
      </c>
      <c r="H245" s="51">
        <f t="shared" si="7"/>
        <v>-2.7824559999999998E-2</v>
      </c>
      <c r="I245" s="213" t="s">
        <v>45</v>
      </c>
      <c r="J245" s="5" t="s">
        <v>45</v>
      </c>
      <c r="K245" s="88" t="str">
        <f t="shared" si="6"/>
        <v>T</v>
      </c>
      <c r="L245" s="19"/>
    </row>
    <row r="246" spans="1:12" x14ac:dyDescent="0.2">
      <c r="A246" s="3"/>
      <c r="B246" s="219"/>
      <c r="C246" s="17" t="s">
        <v>21</v>
      </c>
      <c r="D246" s="203">
        <v>44446</v>
      </c>
      <c r="E246" s="203">
        <v>45035</v>
      </c>
      <c r="F246" s="51">
        <v>0.36427557999999999</v>
      </c>
      <c r="G246" s="51">
        <v>0.48109970000000002</v>
      </c>
      <c r="H246" s="51">
        <f t="shared" si="7"/>
        <v>0.11682412000000003</v>
      </c>
      <c r="I246" s="213" t="s">
        <v>43</v>
      </c>
      <c r="J246" s="5" t="s">
        <v>43</v>
      </c>
      <c r="K246" s="88" t="str">
        <f t="shared" si="6"/>
        <v>T</v>
      </c>
      <c r="L246" s="19"/>
    </row>
    <row r="247" spans="1:12" x14ac:dyDescent="0.2">
      <c r="A247" s="3"/>
      <c r="B247" s="219"/>
      <c r="C247" s="17" t="s">
        <v>84</v>
      </c>
      <c r="D247" s="203">
        <v>44568</v>
      </c>
      <c r="E247" s="203">
        <v>44828</v>
      </c>
      <c r="F247" s="51">
        <v>0.21364588000000001</v>
      </c>
      <c r="G247" s="51">
        <v>0.44889180000000001</v>
      </c>
      <c r="H247" s="51">
        <f t="shared" si="7"/>
        <v>0.23524592</v>
      </c>
      <c r="I247" s="213" t="s">
        <v>43</v>
      </c>
      <c r="J247" s="5" t="s">
        <v>43</v>
      </c>
      <c r="K247" s="88" t="str">
        <f t="shared" ref="K247:K275" si="8">IF(I247=J247,"T","F")</f>
        <v>T</v>
      </c>
      <c r="L247" s="19"/>
    </row>
    <row r="248" spans="1:12" x14ac:dyDescent="0.2">
      <c r="A248" s="3"/>
      <c r="B248" s="219"/>
      <c r="C248" s="17" t="s">
        <v>377</v>
      </c>
      <c r="D248" s="203">
        <v>44569</v>
      </c>
      <c r="E248" s="203">
        <v>45159</v>
      </c>
      <c r="F248" s="51">
        <v>0.14551787999999999</v>
      </c>
      <c r="G248" s="51">
        <v>0.24258250000000001</v>
      </c>
      <c r="H248" s="51">
        <f t="shared" si="7"/>
        <v>9.7064620000000018E-2</v>
      </c>
      <c r="I248" s="213" t="s">
        <v>43</v>
      </c>
      <c r="J248" s="5" t="s">
        <v>43</v>
      </c>
      <c r="K248" s="88" t="str">
        <f t="shared" si="8"/>
        <v>T</v>
      </c>
      <c r="L248" s="19"/>
    </row>
    <row r="249" spans="1:12" x14ac:dyDescent="0.2">
      <c r="A249" s="3"/>
      <c r="B249" s="219"/>
      <c r="C249" s="17" t="s">
        <v>85</v>
      </c>
      <c r="D249" s="203">
        <v>44711</v>
      </c>
      <c r="E249" s="203">
        <v>45215</v>
      </c>
      <c r="F249" s="51">
        <v>0.20035939</v>
      </c>
      <c r="G249" s="51">
        <v>0.38735190000000003</v>
      </c>
      <c r="H249" s="51">
        <f t="shared" si="7"/>
        <v>0.18699251000000003</v>
      </c>
      <c r="I249" s="213" t="s">
        <v>43</v>
      </c>
      <c r="J249" s="5" t="s">
        <v>43</v>
      </c>
      <c r="K249" s="88" t="str">
        <f t="shared" si="8"/>
        <v>T</v>
      </c>
      <c r="L249" s="19"/>
    </row>
    <row r="250" spans="1:12" x14ac:dyDescent="0.2">
      <c r="A250" s="3"/>
      <c r="B250" s="219"/>
      <c r="C250" s="17" t="s">
        <v>378</v>
      </c>
      <c r="D250" s="203">
        <v>44808</v>
      </c>
      <c r="E250" s="203">
        <v>45267</v>
      </c>
      <c r="F250" s="51">
        <v>0.16526850000000001</v>
      </c>
      <c r="G250" s="51">
        <v>0.2573821</v>
      </c>
      <c r="H250" s="51">
        <f t="shared" si="7"/>
        <v>9.211359999999999E-2</v>
      </c>
      <c r="I250" s="213" t="s">
        <v>43</v>
      </c>
      <c r="J250" s="5" t="s">
        <v>43</v>
      </c>
      <c r="K250" s="88" t="str">
        <f t="shared" si="8"/>
        <v>T</v>
      </c>
      <c r="L250" s="19"/>
    </row>
    <row r="251" spans="1:12" x14ac:dyDescent="0.2">
      <c r="A251" s="3"/>
      <c r="B251" s="219"/>
      <c r="C251" s="17" t="s">
        <v>38</v>
      </c>
      <c r="D251" s="203">
        <v>44873</v>
      </c>
      <c r="E251" s="203">
        <v>45261</v>
      </c>
      <c r="F251" s="51">
        <v>0.27875694000000001</v>
      </c>
      <c r="G251" s="51">
        <v>0.28591270000000002</v>
      </c>
      <c r="H251" s="51">
        <f t="shared" si="7"/>
        <v>7.155760000000011E-3</v>
      </c>
      <c r="I251" s="213" t="s">
        <v>45</v>
      </c>
      <c r="J251" s="5" t="s">
        <v>45</v>
      </c>
      <c r="K251" s="88" t="str">
        <f t="shared" si="8"/>
        <v>T</v>
      </c>
      <c r="L251" s="19"/>
    </row>
    <row r="252" spans="1:12" x14ac:dyDescent="0.2">
      <c r="A252" s="3"/>
      <c r="B252" s="219"/>
      <c r="C252" s="17" t="s">
        <v>379</v>
      </c>
      <c r="D252" s="203">
        <v>44904</v>
      </c>
      <c r="E252" s="203">
        <v>45295</v>
      </c>
      <c r="F252" s="51">
        <v>0.28357216000000002</v>
      </c>
      <c r="G252" s="51">
        <v>0.63988100000000003</v>
      </c>
      <c r="H252" s="51">
        <f t="shared" si="7"/>
        <v>0.35630884000000002</v>
      </c>
      <c r="I252" s="213" t="s">
        <v>43</v>
      </c>
      <c r="J252" s="5" t="s">
        <v>43</v>
      </c>
      <c r="K252" s="88" t="str">
        <f t="shared" si="8"/>
        <v>T</v>
      </c>
      <c r="L252" s="19"/>
    </row>
    <row r="253" spans="1:12" x14ac:dyDescent="0.2">
      <c r="A253" s="3"/>
      <c r="B253" s="219"/>
      <c r="C253" s="17" t="s">
        <v>37</v>
      </c>
      <c r="D253" s="203">
        <v>44930</v>
      </c>
      <c r="E253" s="203">
        <v>45299</v>
      </c>
      <c r="F253" s="51">
        <v>0.27802834999999998</v>
      </c>
      <c r="G253" s="51">
        <v>0.54347100000000004</v>
      </c>
      <c r="H253" s="51">
        <f t="shared" si="7"/>
        <v>0.26544265000000006</v>
      </c>
      <c r="I253" s="213" t="s">
        <v>43</v>
      </c>
      <c r="J253" s="5" t="s">
        <v>43</v>
      </c>
      <c r="K253" s="88" t="str">
        <f t="shared" si="8"/>
        <v>T</v>
      </c>
      <c r="L253" s="19"/>
    </row>
    <row r="254" spans="1:12" x14ac:dyDescent="0.2">
      <c r="A254" s="3"/>
      <c r="B254" s="219"/>
      <c r="C254" s="17" t="s">
        <v>380</v>
      </c>
      <c r="D254" s="203">
        <v>44934</v>
      </c>
      <c r="E254" s="203">
        <v>45284</v>
      </c>
      <c r="F254" s="51">
        <v>0.21309522</v>
      </c>
      <c r="G254" s="51">
        <v>0.21156459999999999</v>
      </c>
      <c r="H254" s="51">
        <f t="shared" si="7"/>
        <v>-1.5306200000000103E-3</v>
      </c>
      <c r="I254" s="213" t="s">
        <v>45</v>
      </c>
      <c r="J254" s="5" t="s">
        <v>45</v>
      </c>
      <c r="K254" s="88" t="str">
        <f t="shared" si="8"/>
        <v>T</v>
      </c>
      <c r="L254" s="19"/>
    </row>
    <row r="255" spans="1:12" x14ac:dyDescent="0.2">
      <c r="A255" s="3"/>
      <c r="B255" s="219"/>
      <c r="C255" s="17" t="s">
        <v>381</v>
      </c>
      <c r="D255" s="203">
        <v>45002</v>
      </c>
      <c r="E255" s="203">
        <v>45284</v>
      </c>
      <c r="F255" s="51">
        <v>0.11333728</v>
      </c>
      <c r="G255" s="51">
        <v>0.22679340000000001</v>
      </c>
      <c r="H255" s="51">
        <f t="shared" si="7"/>
        <v>0.11345612000000001</v>
      </c>
      <c r="I255" s="213" t="s">
        <v>45</v>
      </c>
      <c r="J255" s="5" t="s">
        <v>45</v>
      </c>
      <c r="K255" s="88" t="str">
        <f t="shared" si="8"/>
        <v>T</v>
      </c>
      <c r="L255" s="19"/>
    </row>
    <row r="256" spans="1:12" x14ac:dyDescent="0.2">
      <c r="A256" s="3"/>
      <c r="B256" s="221"/>
      <c r="C256" s="115" t="s">
        <v>415</v>
      </c>
      <c r="D256" s="202">
        <v>43948</v>
      </c>
      <c r="E256" s="202">
        <v>45302</v>
      </c>
      <c r="F256" s="117" t="s">
        <v>57</v>
      </c>
      <c r="G256" s="117" t="s">
        <v>57</v>
      </c>
      <c r="H256" s="117" t="s">
        <v>57</v>
      </c>
      <c r="I256" s="214" t="s">
        <v>57</v>
      </c>
      <c r="J256" s="214" t="s">
        <v>57</v>
      </c>
      <c r="K256" s="214" t="s">
        <v>57</v>
      </c>
      <c r="L256" s="19"/>
    </row>
    <row r="257" spans="1:12" x14ac:dyDescent="0.2">
      <c r="A257" s="3"/>
      <c r="B257" s="218" t="s">
        <v>86</v>
      </c>
      <c r="C257" s="17" t="s">
        <v>124</v>
      </c>
      <c r="D257" s="203">
        <v>43885</v>
      </c>
      <c r="E257" s="203">
        <v>44548</v>
      </c>
      <c r="F257" s="51">
        <v>0.14449838000000001</v>
      </c>
      <c r="G257" s="51">
        <v>0.23509569999999999</v>
      </c>
      <c r="H257" s="51">
        <f t="shared" si="7"/>
        <v>9.0597319999999981E-2</v>
      </c>
      <c r="I257" s="213" t="s">
        <v>45</v>
      </c>
      <c r="J257" s="5" t="s">
        <v>45</v>
      </c>
      <c r="K257" s="88" t="str">
        <f t="shared" si="8"/>
        <v>T</v>
      </c>
      <c r="L257" s="19"/>
    </row>
    <row r="258" spans="1:12" x14ac:dyDescent="0.2">
      <c r="A258" s="3"/>
      <c r="B258" s="219"/>
      <c r="C258" s="17" t="s">
        <v>36</v>
      </c>
      <c r="D258" s="203">
        <v>43896</v>
      </c>
      <c r="E258" s="203">
        <v>44628</v>
      </c>
      <c r="F258" s="51">
        <v>0.38490533999999998</v>
      </c>
      <c r="G258" s="51">
        <v>0.83583450000000004</v>
      </c>
      <c r="H258" s="51">
        <f t="shared" si="7"/>
        <v>0.45092916000000005</v>
      </c>
      <c r="I258" s="213" t="s">
        <v>43</v>
      </c>
      <c r="J258" s="5" t="s">
        <v>43</v>
      </c>
      <c r="K258" s="88" t="str">
        <f t="shared" si="8"/>
        <v>T</v>
      </c>
      <c r="L258" s="19"/>
    </row>
    <row r="259" spans="1:12" x14ac:dyDescent="0.2">
      <c r="A259" s="3"/>
      <c r="B259" s="219"/>
      <c r="C259" s="17" t="s">
        <v>24</v>
      </c>
      <c r="D259" s="203">
        <v>44032</v>
      </c>
      <c r="E259" s="203">
        <v>45156</v>
      </c>
      <c r="F259" s="51">
        <v>0.20323327999999999</v>
      </c>
      <c r="G259" s="51">
        <v>0.36804720000000002</v>
      </c>
      <c r="H259" s="51">
        <f t="shared" si="7"/>
        <v>0.16481392000000003</v>
      </c>
      <c r="I259" s="213" t="s">
        <v>43</v>
      </c>
      <c r="J259" s="5" t="s">
        <v>43</v>
      </c>
      <c r="K259" s="88" t="str">
        <f t="shared" si="8"/>
        <v>T</v>
      </c>
      <c r="L259" s="19"/>
    </row>
    <row r="260" spans="1:12" x14ac:dyDescent="0.2">
      <c r="A260" s="3"/>
      <c r="B260" s="219"/>
      <c r="C260" s="17" t="s">
        <v>25</v>
      </c>
      <c r="D260" s="203">
        <v>44032</v>
      </c>
      <c r="E260" s="203">
        <v>45273</v>
      </c>
      <c r="F260" s="51">
        <v>0.17786880999999999</v>
      </c>
      <c r="G260" s="51">
        <v>0.29550880000000002</v>
      </c>
      <c r="H260" s="51">
        <f t="shared" si="7"/>
        <v>0.11763999000000003</v>
      </c>
      <c r="I260" s="213" t="s">
        <v>43</v>
      </c>
      <c r="J260" s="5" t="s">
        <v>43</v>
      </c>
      <c r="K260" s="88" t="str">
        <f t="shared" si="8"/>
        <v>T</v>
      </c>
      <c r="L260" s="19"/>
    </row>
    <row r="261" spans="1:12" x14ac:dyDescent="0.2">
      <c r="A261" s="3"/>
      <c r="B261" s="219"/>
      <c r="C261" s="17" t="s">
        <v>20</v>
      </c>
      <c r="D261" s="203">
        <v>44034</v>
      </c>
      <c r="E261" s="203">
        <v>45311</v>
      </c>
      <c r="F261" s="51">
        <v>0.29993027999999999</v>
      </c>
      <c r="G261" s="51">
        <v>0.76665970000000006</v>
      </c>
      <c r="H261" s="51">
        <f t="shared" si="7"/>
        <v>0.46672942000000006</v>
      </c>
      <c r="I261" s="213" t="s">
        <v>43</v>
      </c>
      <c r="J261" s="5" t="s">
        <v>43</v>
      </c>
      <c r="K261" s="88" t="str">
        <f t="shared" si="8"/>
        <v>T</v>
      </c>
      <c r="L261" s="19"/>
    </row>
    <row r="262" spans="1:12" x14ac:dyDescent="0.2">
      <c r="A262" s="3"/>
      <c r="B262" s="219"/>
      <c r="C262" s="17" t="s">
        <v>366</v>
      </c>
      <c r="D262" s="203">
        <v>44195</v>
      </c>
      <c r="E262" s="203">
        <v>45048</v>
      </c>
      <c r="F262" s="51">
        <v>0.29096567000000001</v>
      </c>
      <c r="G262" s="51">
        <v>0.23291999999999999</v>
      </c>
      <c r="H262" s="51">
        <f t="shared" si="7"/>
        <v>-5.8045670000000021E-2</v>
      </c>
      <c r="I262" s="213" t="s">
        <v>45</v>
      </c>
      <c r="J262" s="5" t="s">
        <v>45</v>
      </c>
      <c r="K262" s="88" t="str">
        <f t="shared" si="8"/>
        <v>T</v>
      </c>
      <c r="L262" s="19"/>
    </row>
    <row r="263" spans="1:12" x14ac:dyDescent="0.2">
      <c r="A263" s="3"/>
      <c r="B263" s="219"/>
      <c r="C263" s="17" t="s">
        <v>13</v>
      </c>
      <c r="D263" s="203">
        <v>44199</v>
      </c>
      <c r="E263" s="203">
        <v>44608</v>
      </c>
      <c r="F263" s="51">
        <v>0.25516018000000001</v>
      </c>
      <c r="G263" s="51">
        <v>0.21772939999999999</v>
      </c>
      <c r="H263" s="51">
        <f t="shared" si="7"/>
        <v>-3.7430780000000025E-2</v>
      </c>
      <c r="I263" s="213" t="s">
        <v>43</v>
      </c>
      <c r="J263" s="5" t="s">
        <v>43</v>
      </c>
      <c r="K263" s="88" t="str">
        <f t="shared" si="8"/>
        <v>T</v>
      </c>
      <c r="L263" s="19"/>
    </row>
    <row r="264" spans="1:12" x14ac:dyDescent="0.2">
      <c r="A264" s="3"/>
      <c r="B264" s="219"/>
      <c r="C264" s="17" t="s">
        <v>14</v>
      </c>
      <c r="D264" s="203">
        <v>44199</v>
      </c>
      <c r="E264" s="203">
        <v>44636</v>
      </c>
      <c r="F264" s="51">
        <v>0.32100431000000001</v>
      </c>
      <c r="G264" s="51">
        <v>0.30887870000000001</v>
      </c>
      <c r="H264" s="51">
        <f t="shared" si="7"/>
        <v>-1.2125610000000009E-2</v>
      </c>
      <c r="I264" s="213" t="s">
        <v>43</v>
      </c>
      <c r="J264" s="5" t="s">
        <v>43</v>
      </c>
      <c r="K264" s="88" t="str">
        <f t="shared" si="8"/>
        <v>T</v>
      </c>
      <c r="L264" s="19"/>
    </row>
    <row r="265" spans="1:12" x14ac:dyDescent="0.2">
      <c r="A265" s="3"/>
      <c r="B265" s="219"/>
      <c r="C265" s="17" t="s">
        <v>18</v>
      </c>
      <c r="D265" s="203">
        <v>44199</v>
      </c>
      <c r="E265" s="203">
        <v>45119</v>
      </c>
      <c r="F265" s="51">
        <v>0.21703458</v>
      </c>
      <c r="G265" s="51">
        <v>0.43035479999999998</v>
      </c>
      <c r="H265" s="51">
        <f t="shared" si="7"/>
        <v>0.21332021999999998</v>
      </c>
      <c r="I265" s="213" t="s">
        <v>45</v>
      </c>
      <c r="J265" s="5" t="s">
        <v>43</v>
      </c>
      <c r="K265" s="88" t="str">
        <f t="shared" si="8"/>
        <v>F</v>
      </c>
      <c r="L265" s="19"/>
    </row>
    <row r="266" spans="1:12" x14ac:dyDescent="0.2">
      <c r="A266" s="3"/>
      <c r="B266" s="219"/>
      <c r="C266" s="17" t="s">
        <v>28</v>
      </c>
      <c r="D266" s="203">
        <v>44568</v>
      </c>
      <c r="E266" s="203">
        <v>45276</v>
      </c>
      <c r="F266" s="51">
        <v>0.24760940000000001</v>
      </c>
      <c r="G266" s="51">
        <v>0.51795860000000005</v>
      </c>
      <c r="H266" s="51">
        <f t="shared" si="7"/>
        <v>0.27034920000000007</v>
      </c>
      <c r="I266" s="213" t="s">
        <v>43</v>
      </c>
      <c r="J266" s="5" t="s">
        <v>43</v>
      </c>
      <c r="K266" s="88" t="str">
        <f t="shared" si="8"/>
        <v>T</v>
      </c>
      <c r="L266" s="19"/>
    </row>
    <row r="267" spans="1:12" x14ac:dyDescent="0.2">
      <c r="A267" s="3"/>
      <c r="B267" s="219"/>
      <c r="C267" s="17" t="s">
        <v>38</v>
      </c>
      <c r="D267" s="203">
        <v>44611</v>
      </c>
      <c r="E267" s="203">
        <v>45303</v>
      </c>
      <c r="F267" s="51">
        <v>0.33581239000000002</v>
      </c>
      <c r="G267" s="51">
        <v>0.47519670000000003</v>
      </c>
      <c r="H267" s="51">
        <f t="shared" si="7"/>
        <v>0.13938431000000001</v>
      </c>
      <c r="I267" s="213" t="s">
        <v>43</v>
      </c>
      <c r="J267" s="5" t="s">
        <v>43</v>
      </c>
      <c r="K267" s="88" t="str">
        <f t="shared" si="8"/>
        <v>T</v>
      </c>
      <c r="L267" s="19"/>
    </row>
    <row r="268" spans="1:12" x14ac:dyDescent="0.2">
      <c r="A268" s="3"/>
      <c r="B268" s="219"/>
      <c r="C268" s="17" t="s">
        <v>37</v>
      </c>
      <c r="D268" s="203">
        <v>44976</v>
      </c>
      <c r="E268" s="203">
        <v>45309</v>
      </c>
      <c r="F268" s="51">
        <v>0.23833716999999999</v>
      </c>
      <c r="G268" s="51">
        <v>0.2484681</v>
      </c>
      <c r="H268" s="51">
        <f t="shared" si="7"/>
        <v>1.013093000000001E-2</v>
      </c>
      <c r="I268" s="213" t="s">
        <v>43</v>
      </c>
      <c r="J268" s="5" t="s">
        <v>43</v>
      </c>
      <c r="K268" s="88" t="str">
        <f t="shared" si="8"/>
        <v>T</v>
      </c>
      <c r="L268" s="19"/>
    </row>
    <row r="269" spans="1:12" x14ac:dyDescent="0.2">
      <c r="A269" s="3"/>
      <c r="B269" s="219"/>
      <c r="C269" s="17" t="s">
        <v>32</v>
      </c>
      <c r="D269" s="203">
        <v>45028</v>
      </c>
      <c r="E269" s="203">
        <v>45312</v>
      </c>
      <c r="F269" s="51">
        <v>0.29870136000000003</v>
      </c>
      <c r="G269" s="51">
        <v>0.2845935</v>
      </c>
      <c r="H269" s="51">
        <f t="shared" si="7"/>
        <v>-1.4107860000000028E-2</v>
      </c>
      <c r="I269" s="213" t="s">
        <v>45</v>
      </c>
      <c r="J269" s="5" t="s">
        <v>45</v>
      </c>
      <c r="K269" s="88" t="str">
        <f t="shared" si="8"/>
        <v>T</v>
      </c>
      <c r="L269" s="19"/>
    </row>
    <row r="270" spans="1:12" x14ac:dyDescent="0.2">
      <c r="A270" s="3"/>
      <c r="B270" s="221"/>
      <c r="C270" s="115" t="s">
        <v>416</v>
      </c>
      <c r="D270" s="202">
        <v>43890</v>
      </c>
      <c r="E270" s="202">
        <v>45312</v>
      </c>
      <c r="F270" s="117" t="s">
        <v>57</v>
      </c>
      <c r="G270" s="117" t="s">
        <v>57</v>
      </c>
      <c r="H270" s="117" t="s">
        <v>57</v>
      </c>
      <c r="I270" s="214" t="s">
        <v>57</v>
      </c>
      <c r="J270" s="214" t="s">
        <v>57</v>
      </c>
      <c r="K270" s="214" t="s">
        <v>57</v>
      </c>
      <c r="L270" s="19"/>
    </row>
    <row r="271" spans="1:12" x14ac:dyDescent="0.2">
      <c r="A271" s="3"/>
      <c r="B271" s="218" t="s">
        <v>87</v>
      </c>
      <c r="C271" s="135" t="s">
        <v>9</v>
      </c>
      <c r="D271" s="211">
        <v>44213</v>
      </c>
      <c r="E271" s="211">
        <v>44865</v>
      </c>
      <c r="F271" s="145">
        <v>0.42343587999999999</v>
      </c>
      <c r="G271" s="145">
        <v>0.85262839999999995</v>
      </c>
      <c r="H271" s="145">
        <f t="shared" si="7"/>
        <v>0.42919251999999997</v>
      </c>
      <c r="I271" s="215" t="s">
        <v>45</v>
      </c>
      <c r="J271" s="146" t="s">
        <v>43</v>
      </c>
      <c r="K271" s="125" t="str">
        <f t="shared" si="8"/>
        <v>F</v>
      </c>
      <c r="L271" s="19"/>
    </row>
    <row r="272" spans="1:12" x14ac:dyDescent="0.2">
      <c r="A272" s="3"/>
      <c r="B272" s="219"/>
      <c r="C272" s="17" t="s">
        <v>10</v>
      </c>
      <c r="D272" s="203">
        <v>44312</v>
      </c>
      <c r="E272" s="203">
        <v>44789</v>
      </c>
      <c r="F272" s="18">
        <v>0.45724543000000001</v>
      </c>
      <c r="G272" s="18">
        <v>0.60704210000000003</v>
      </c>
      <c r="H272" s="18">
        <f t="shared" si="7"/>
        <v>0.14979667000000002</v>
      </c>
      <c r="I272" s="216" t="s">
        <v>43</v>
      </c>
      <c r="J272" s="5" t="s">
        <v>43</v>
      </c>
      <c r="K272" s="88" t="str">
        <f t="shared" si="8"/>
        <v>T</v>
      </c>
      <c r="L272" s="19"/>
    </row>
    <row r="273" spans="1:12" x14ac:dyDescent="0.2">
      <c r="A273" s="3"/>
      <c r="B273" s="219"/>
      <c r="C273" s="17" t="s">
        <v>14</v>
      </c>
      <c r="D273" s="203">
        <v>44366</v>
      </c>
      <c r="E273" s="203">
        <v>44789</v>
      </c>
      <c r="F273" s="18">
        <v>0.15355582000000001</v>
      </c>
      <c r="G273" s="18">
        <v>0.24050869999999999</v>
      </c>
      <c r="H273" s="18">
        <f t="shared" si="7"/>
        <v>8.6952879999999982E-2</v>
      </c>
      <c r="I273" s="216" t="s">
        <v>43</v>
      </c>
      <c r="J273" s="5" t="s">
        <v>43</v>
      </c>
      <c r="K273" s="88" t="str">
        <f t="shared" si="8"/>
        <v>T</v>
      </c>
      <c r="L273" s="19"/>
    </row>
    <row r="274" spans="1:12" x14ac:dyDescent="0.2">
      <c r="A274" s="3"/>
      <c r="B274" s="219"/>
      <c r="C274" s="17" t="s">
        <v>28</v>
      </c>
      <c r="D274" s="203">
        <v>44767</v>
      </c>
      <c r="E274" s="203">
        <v>45061</v>
      </c>
      <c r="F274" s="18">
        <v>0.14352896000000001</v>
      </c>
      <c r="G274" s="18">
        <v>0.20566809999999999</v>
      </c>
      <c r="H274" s="18">
        <f t="shared" si="7"/>
        <v>6.2139139999999982E-2</v>
      </c>
      <c r="I274" s="216" t="s">
        <v>45</v>
      </c>
      <c r="J274" s="5" t="s">
        <v>45</v>
      </c>
      <c r="K274" s="88" t="str">
        <f t="shared" si="8"/>
        <v>T</v>
      </c>
      <c r="L274" s="19"/>
    </row>
    <row r="275" spans="1:12" x14ac:dyDescent="0.2">
      <c r="A275" s="3"/>
      <c r="B275" s="219"/>
      <c r="C275" s="17" t="s">
        <v>38</v>
      </c>
      <c r="D275" s="203">
        <v>44774</v>
      </c>
      <c r="E275" s="203">
        <v>45251</v>
      </c>
      <c r="F275" s="18">
        <v>0.27896700000000002</v>
      </c>
      <c r="G275" s="18">
        <v>0.56508950000000002</v>
      </c>
      <c r="H275" s="18">
        <f t="shared" si="7"/>
        <v>0.2861225</v>
      </c>
      <c r="I275" s="216" t="s">
        <v>43</v>
      </c>
      <c r="J275" s="5" t="s">
        <v>43</v>
      </c>
      <c r="K275" s="88" t="str">
        <f t="shared" si="8"/>
        <v>T</v>
      </c>
      <c r="L275" s="19"/>
    </row>
    <row r="276" spans="1:12" ht="17" thickBot="1" x14ac:dyDescent="0.25">
      <c r="B276" s="220"/>
      <c r="C276" s="32" t="s">
        <v>417</v>
      </c>
      <c r="D276" s="212">
        <v>44194</v>
      </c>
      <c r="E276" s="212">
        <v>45261</v>
      </c>
      <c r="F276" s="189" t="s">
        <v>57</v>
      </c>
      <c r="G276" s="189" t="s">
        <v>57</v>
      </c>
      <c r="H276" s="189" t="s">
        <v>57</v>
      </c>
      <c r="I276" s="217" t="s">
        <v>57</v>
      </c>
      <c r="J276" s="217" t="s">
        <v>57</v>
      </c>
      <c r="K276" s="217" t="s">
        <v>57</v>
      </c>
      <c r="L276" s="19"/>
    </row>
    <row r="277" spans="1:12" x14ac:dyDescent="0.2">
      <c r="B277" s="49"/>
      <c r="D277" s="198"/>
      <c r="E277" s="198"/>
      <c r="F277" s="208"/>
      <c r="G277" s="208"/>
      <c r="H277" s="208"/>
      <c r="I277" s="49"/>
      <c r="J277" s="49"/>
      <c r="K277" s="49"/>
      <c r="L277" s="19"/>
    </row>
    <row r="278" spans="1:12" x14ac:dyDescent="0.2">
      <c r="B278" s="49"/>
      <c r="D278" s="198"/>
      <c r="E278" s="198"/>
      <c r="F278" s="208"/>
      <c r="G278" s="208"/>
      <c r="H278" s="208"/>
      <c r="I278" s="49"/>
      <c r="J278" s="49"/>
      <c r="K278" s="49"/>
      <c r="L278" s="19"/>
    </row>
    <row r="279" spans="1:12" x14ac:dyDescent="0.2">
      <c r="B279" s="49"/>
      <c r="D279" s="198"/>
      <c r="E279" s="198"/>
      <c r="F279" s="208"/>
      <c r="G279" s="208"/>
      <c r="H279" s="208"/>
      <c r="I279" s="49"/>
      <c r="J279" s="49"/>
      <c r="K279" s="49"/>
      <c r="L279" s="19"/>
    </row>
    <row r="280" spans="1:12" x14ac:dyDescent="0.2">
      <c r="B280" s="49"/>
      <c r="D280" s="198"/>
      <c r="E280" s="198"/>
      <c r="F280" s="208"/>
      <c r="G280" s="208"/>
      <c r="H280" s="208"/>
      <c r="I280" s="49"/>
      <c r="J280" s="49"/>
      <c r="K280" s="49"/>
      <c r="L280" s="19"/>
    </row>
    <row r="281" spans="1:12" x14ac:dyDescent="0.2">
      <c r="B281" s="49"/>
      <c r="D281" s="198"/>
      <c r="E281" s="198"/>
      <c r="F281" s="208"/>
      <c r="G281" s="208"/>
      <c r="H281" s="208"/>
      <c r="I281" s="49"/>
      <c r="J281" s="49"/>
      <c r="K281" s="49"/>
      <c r="L281" s="19"/>
    </row>
    <row r="282" spans="1:12" x14ac:dyDescent="0.2">
      <c r="B282" s="49"/>
      <c r="D282" s="198"/>
      <c r="E282" s="198"/>
      <c r="F282" s="208"/>
      <c r="G282" s="208"/>
      <c r="H282" s="208"/>
      <c r="I282" s="49"/>
      <c r="J282" s="49"/>
      <c r="K282" s="49"/>
      <c r="L282" s="19"/>
    </row>
    <row r="283" spans="1:12" x14ac:dyDescent="0.2">
      <c r="B283" s="49"/>
      <c r="D283" s="198"/>
      <c r="E283" s="198"/>
      <c r="F283" s="208"/>
      <c r="G283" s="208"/>
      <c r="H283" s="208"/>
      <c r="I283" s="49"/>
      <c r="J283" s="49"/>
      <c r="K283" s="49"/>
      <c r="L283" s="19"/>
    </row>
    <row r="284" spans="1:12" x14ac:dyDescent="0.2">
      <c r="B284" s="49"/>
      <c r="D284" s="198"/>
      <c r="E284" s="198"/>
      <c r="F284" s="208"/>
      <c r="G284" s="208"/>
      <c r="H284" s="208"/>
      <c r="I284" s="49"/>
      <c r="J284" s="49"/>
      <c r="K284" s="49"/>
      <c r="L284" s="19"/>
    </row>
    <row r="285" spans="1:12" x14ac:dyDescent="0.2">
      <c r="B285" s="49"/>
      <c r="D285" s="198"/>
      <c r="E285" s="198"/>
      <c r="F285" s="208"/>
      <c r="G285" s="208"/>
      <c r="H285" s="208"/>
      <c r="I285" s="49"/>
      <c r="J285" s="49"/>
      <c r="K285" s="49"/>
      <c r="L285" s="19"/>
    </row>
    <row r="286" spans="1:12" x14ac:dyDescent="0.2">
      <c r="B286" s="49"/>
      <c r="D286" s="198"/>
      <c r="E286" s="198"/>
      <c r="F286" s="208"/>
      <c r="G286" s="208"/>
      <c r="H286" s="208"/>
      <c r="I286" s="49"/>
      <c r="J286" s="49"/>
      <c r="K286" s="49"/>
      <c r="L286" s="19"/>
    </row>
    <row r="287" spans="1:12" x14ac:dyDescent="0.2">
      <c r="B287" s="49"/>
      <c r="D287" s="198"/>
      <c r="E287" s="198"/>
      <c r="F287" s="208"/>
      <c r="G287" s="208"/>
      <c r="H287" s="208"/>
      <c r="I287" s="49"/>
      <c r="J287" s="49"/>
      <c r="K287" s="49"/>
      <c r="L287" s="19"/>
    </row>
    <row r="288" spans="1:12" x14ac:dyDescent="0.2">
      <c r="B288" s="49"/>
      <c r="D288" s="198"/>
      <c r="E288" s="198"/>
      <c r="F288" s="208"/>
      <c r="G288" s="208"/>
      <c r="H288" s="208"/>
      <c r="I288" s="49"/>
      <c r="J288" s="49"/>
      <c r="K288" s="49"/>
      <c r="L288" s="19"/>
    </row>
    <row r="289" spans="2:12" x14ac:dyDescent="0.2">
      <c r="B289" s="49"/>
      <c r="D289" s="198"/>
      <c r="E289" s="198"/>
      <c r="F289" s="208"/>
      <c r="G289" s="208"/>
      <c r="H289" s="208"/>
      <c r="I289" s="49"/>
      <c r="J289" s="49"/>
      <c r="K289" s="49"/>
      <c r="L289" s="19"/>
    </row>
    <row r="290" spans="2:12" x14ac:dyDescent="0.2">
      <c r="B290" s="49"/>
      <c r="D290" s="198"/>
      <c r="E290" s="198"/>
      <c r="F290" s="208"/>
      <c r="G290" s="208"/>
      <c r="H290" s="208"/>
      <c r="I290" s="49"/>
      <c r="J290" s="49"/>
      <c r="K290" s="49"/>
      <c r="L290" s="19"/>
    </row>
    <row r="291" spans="2:12" x14ac:dyDescent="0.2">
      <c r="B291" s="49"/>
      <c r="D291" s="198"/>
      <c r="E291" s="198"/>
      <c r="F291" s="208"/>
      <c r="G291" s="208"/>
      <c r="H291" s="208"/>
      <c r="I291" s="49"/>
      <c r="J291" s="49"/>
      <c r="K291" s="49"/>
      <c r="L291" s="19"/>
    </row>
    <row r="292" spans="2:12" x14ac:dyDescent="0.2">
      <c r="B292" s="49"/>
      <c r="D292" s="198"/>
      <c r="E292" s="198"/>
      <c r="F292" s="208"/>
      <c r="G292" s="208"/>
      <c r="H292" s="208"/>
      <c r="I292" s="49"/>
      <c r="J292" s="49"/>
      <c r="K292" s="49"/>
      <c r="L292" s="19"/>
    </row>
    <row r="293" spans="2:12" x14ac:dyDescent="0.2">
      <c r="B293" s="49"/>
      <c r="D293" s="198"/>
      <c r="E293" s="198"/>
      <c r="F293" s="208"/>
      <c r="G293" s="208"/>
      <c r="H293" s="208"/>
      <c r="I293" s="49"/>
      <c r="J293" s="49"/>
      <c r="K293" s="49"/>
      <c r="L293" s="19"/>
    </row>
    <row r="294" spans="2:12" x14ac:dyDescent="0.2">
      <c r="B294" s="49"/>
      <c r="D294" s="198"/>
      <c r="E294" s="198"/>
      <c r="F294" s="208"/>
      <c r="G294" s="208"/>
      <c r="H294" s="208"/>
      <c r="I294" s="49"/>
      <c r="J294" s="49"/>
      <c r="K294" s="49"/>
      <c r="L294" s="19"/>
    </row>
    <row r="295" spans="2:12" x14ac:dyDescent="0.2">
      <c r="B295" s="49"/>
      <c r="D295" s="198"/>
      <c r="E295" s="198"/>
      <c r="F295" s="208"/>
      <c r="G295" s="208"/>
      <c r="H295" s="208"/>
      <c r="I295" s="49"/>
      <c r="J295" s="49"/>
      <c r="K295" s="49"/>
      <c r="L295" s="19"/>
    </row>
    <row r="296" spans="2:12" x14ac:dyDescent="0.2">
      <c r="B296" s="49"/>
      <c r="D296" s="198"/>
      <c r="E296" s="198"/>
      <c r="F296" s="208"/>
      <c r="G296" s="208"/>
      <c r="H296" s="208"/>
      <c r="I296" s="49"/>
      <c r="J296" s="49"/>
      <c r="K296" s="49"/>
      <c r="L296" s="19"/>
    </row>
    <row r="297" spans="2:12" x14ac:dyDescent="0.2">
      <c r="B297" s="49"/>
      <c r="D297" s="198"/>
      <c r="E297" s="198"/>
      <c r="F297" s="208"/>
      <c r="G297" s="208"/>
      <c r="H297" s="208"/>
      <c r="I297" s="49"/>
      <c r="J297" s="49"/>
      <c r="K297" s="49"/>
      <c r="L297" s="19"/>
    </row>
    <row r="298" spans="2:12" x14ac:dyDescent="0.2">
      <c r="B298" s="49"/>
      <c r="D298" s="198"/>
      <c r="E298" s="198"/>
      <c r="F298" s="208"/>
      <c r="G298" s="208"/>
      <c r="H298" s="208"/>
      <c r="I298" s="49"/>
      <c r="J298" s="49"/>
      <c r="K298" s="49"/>
      <c r="L298" s="19"/>
    </row>
    <row r="299" spans="2:12" x14ac:dyDescent="0.2">
      <c r="B299" s="49"/>
      <c r="D299" s="198"/>
      <c r="E299" s="198"/>
      <c r="F299" s="208"/>
      <c r="G299" s="208"/>
      <c r="H299" s="208"/>
      <c r="I299" s="49"/>
      <c r="J299" s="49"/>
      <c r="K299" s="49"/>
      <c r="L299" s="19"/>
    </row>
    <row r="300" spans="2:12" x14ac:dyDescent="0.2">
      <c r="B300" s="49"/>
      <c r="D300" s="198"/>
      <c r="E300" s="198"/>
      <c r="F300" s="208"/>
      <c r="G300" s="208"/>
      <c r="H300" s="208"/>
      <c r="I300" s="49"/>
      <c r="J300" s="49"/>
      <c r="K300" s="49"/>
      <c r="L300" s="19"/>
    </row>
    <row r="301" spans="2:12" x14ac:dyDescent="0.2">
      <c r="B301" s="49"/>
      <c r="D301" s="198"/>
      <c r="E301" s="198"/>
      <c r="F301" s="208"/>
      <c r="G301" s="208"/>
      <c r="H301" s="208"/>
      <c r="I301" s="49"/>
      <c r="J301" s="49"/>
      <c r="K301" s="49"/>
      <c r="L301" s="19"/>
    </row>
    <row r="302" spans="2:12" x14ac:dyDescent="0.2">
      <c r="B302" s="49"/>
      <c r="D302" s="198"/>
      <c r="E302" s="198"/>
      <c r="F302" s="208"/>
      <c r="G302" s="208"/>
      <c r="H302" s="208"/>
      <c r="I302" s="49"/>
      <c r="J302" s="49"/>
      <c r="K302" s="49"/>
      <c r="L302" s="19"/>
    </row>
    <row r="303" spans="2:12" x14ac:dyDescent="0.2">
      <c r="B303" s="49"/>
      <c r="D303" s="198"/>
      <c r="E303" s="198"/>
      <c r="F303" s="208"/>
      <c r="G303" s="208"/>
      <c r="H303" s="208"/>
      <c r="I303" s="49"/>
      <c r="J303" s="49"/>
      <c r="K303" s="49"/>
      <c r="L303" s="19"/>
    </row>
    <row r="304" spans="2:12" x14ac:dyDescent="0.2">
      <c r="B304" s="49"/>
      <c r="D304" s="198"/>
      <c r="E304" s="198"/>
      <c r="F304" s="208"/>
      <c r="G304" s="208"/>
      <c r="H304" s="208"/>
      <c r="I304" s="49"/>
      <c r="J304" s="49"/>
      <c r="K304" s="49"/>
      <c r="L304" s="19"/>
    </row>
    <row r="305" spans="2:12" x14ac:dyDescent="0.2">
      <c r="B305" s="49"/>
      <c r="D305" s="198"/>
      <c r="E305" s="198"/>
      <c r="F305" s="208"/>
      <c r="G305" s="208"/>
      <c r="H305" s="208"/>
      <c r="I305" s="49"/>
      <c r="J305" s="49"/>
      <c r="K305" s="49"/>
      <c r="L305" s="19"/>
    </row>
    <row r="306" spans="2:12" x14ac:dyDescent="0.2">
      <c r="B306" s="49"/>
      <c r="D306" s="198"/>
      <c r="E306" s="198"/>
      <c r="F306" s="208"/>
      <c r="G306" s="208"/>
      <c r="H306" s="208"/>
      <c r="I306" s="49"/>
      <c r="J306" s="49"/>
      <c r="K306" s="49"/>
      <c r="L306" s="19"/>
    </row>
    <row r="307" spans="2:12" x14ac:dyDescent="0.2">
      <c r="B307" s="49"/>
      <c r="D307" s="198"/>
      <c r="E307" s="198"/>
      <c r="F307" s="208"/>
      <c r="G307" s="208"/>
      <c r="H307" s="208"/>
      <c r="I307" s="49"/>
      <c r="J307" s="49"/>
      <c r="K307" s="49"/>
      <c r="L307" s="19"/>
    </row>
    <row r="308" spans="2:12" x14ac:dyDescent="0.2">
      <c r="B308" s="49"/>
      <c r="D308" s="198"/>
      <c r="E308" s="198"/>
      <c r="F308" s="208"/>
      <c r="G308" s="208"/>
      <c r="H308" s="208"/>
      <c r="I308" s="49"/>
      <c r="J308" s="49"/>
      <c r="K308" s="49"/>
      <c r="L308" s="19"/>
    </row>
    <row r="309" spans="2:12" x14ac:dyDescent="0.2">
      <c r="B309" s="49"/>
      <c r="D309" s="198"/>
      <c r="E309" s="198"/>
      <c r="F309" s="208"/>
      <c r="G309" s="208"/>
      <c r="H309" s="208"/>
      <c r="I309" s="49"/>
      <c r="J309" s="49"/>
      <c r="K309" s="49"/>
      <c r="L309" s="19"/>
    </row>
    <row r="310" spans="2:12" x14ac:dyDescent="0.2">
      <c r="B310" s="49"/>
      <c r="D310" s="198"/>
      <c r="E310" s="198"/>
      <c r="F310" s="208"/>
      <c r="G310" s="208"/>
      <c r="H310" s="208"/>
      <c r="I310" s="49"/>
      <c r="J310" s="49"/>
      <c r="K310" s="49"/>
      <c r="L310" s="19"/>
    </row>
    <row r="311" spans="2:12" x14ac:dyDescent="0.2">
      <c r="B311" s="49"/>
      <c r="D311" s="198"/>
      <c r="E311" s="198"/>
      <c r="F311" s="208"/>
      <c r="G311" s="208"/>
      <c r="H311" s="208"/>
      <c r="I311" s="49"/>
      <c r="J311" s="49"/>
      <c r="K311" s="49"/>
      <c r="L311" s="19"/>
    </row>
    <row r="312" spans="2:12" x14ac:dyDescent="0.2">
      <c r="B312" s="49"/>
      <c r="D312" s="198"/>
      <c r="E312" s="198"/>
      <c r="F312" s="208"/>
      <c r="G312" s="208"/>
      <c r="H312" s="208"/>
      <c r="I312" s="49"/>
      <c r="J312" s="49"/>
      <c r="K312" s="49"/>
      <c r="L312" s="19"/>
    </row>
    <row r="313" spans="2:12" x14ac:dyDescent="0.2">
      <c r="B313" s="49"/>
      <c r="D313" s="198"/>
      <c r="E313" s="198"/>
      <c r="F313" s="208"/>
      <c r="G313" s="208"/>
      <c r="H313" s="208"/>
      <c r="I313" s="49"/>
      <c r="J313" s="49"/>
      <c r="K313" s="49"/>
      <c r="L313" s="19"/>
    </row>
    <row r="314" spans="2:12" x14ac:dyDescent="0.2">
      <c r="B314" s="49"/>
      <c r="D314" s="198"/>
      <c r="E314" s="198"/>
      <c r="F314" s="208"/>
      <c r="G314" s="208"/>
      <c r="H314" s="208"/>
      <c r="I314" s="49"/>
      <c r="J314" s="49"/>
      <c r="K314" s="49"/>
      <c r="L314" s="19"/>
    </row>
    <row r="315" spans="2:12" x14ac:dyDescent="0.2">
      <c r="B315" s="49"/>
      <c r="D315" s="198"/>
      <c r="E315" s="198"/>
      <c r="F315" s="208"/>
      <c r="G315" s="208"/>
      <c r="H315" s="208"/>
      <c r="I315" s="49"/>
      <c r="J315" s="49"/>
      <c r="K315" s="49"/>
      <c r="L315" s="19"/>
    </row>
    <row r="316" spans="2:12" x14ac:dyDescent="0.2">
      <c r="B316" s="49"/>
      <c r="D316" s="198"/>
      <c r="E316" s="198"/>
      <c r="F316" s="208"/>
      <c r="G316" s="208"/>
      <c r="H316" s="208"/>
      <c r="I316" s="49"/>
      <c r="J316" s="49"/>
      <c r="K316" s="49"/>
      <c r="L316" s="19"/>
    </row>
    <row r="317" spans="2:12" x14ac:dyDescent="0.2">
      <c r="B317" s="49"/>
      <c r="D317" s="198"/>
      <c r="E317" s="198"/>
      <c r="F317" s="208"/>
      <c r="G317" s="208"/>
      <c r="H317" s="208"/>
      <c r="I317" s="49"/>
      <c r="J317" s="49"/>
      <c r="K317" s="49"/>
      <c r="L317" s="19"/>
    </row>
    <row r="318" spans="2:12" x14ac:dyDescent="0.2">
      <c r="B318" s="49"/>
      <c r="D318" s="198"/>
      <c r="E318" s="198"/>
      <c r="F318" s="208"/>
      <c r="G318" s="208"/>
      <c r="H318" s="208"/>
      <c r="I318" s="49"/>
      <c r="J318" s="49"/>
      <c r="K318" s="49"/>
      <c r="L318" s="19"/>
    </row>
    <row r="319" spans="2:12" x14ac:dyDescent="0.2">
      <c r="B319" s="49"/>
      <c r="D319" s="198"/>
      <c r="E319" s="198"/>
      <c r="F319" s="208"/>
      <c r="G319" s="208"/>
      <c r="H319" s="208"/>
      <c r="I319" s="49"/>
      <c r="J319" s="49"/>
      <c r="K319" s="49"/>
      <c r="L319" s="19"/>
    </row>
    <row r="320" spans="2:12" x14ac:dyDescent="0.2">
      <c r="B320" s="49"/>
      <c r="D320" s="198"/>
      <c r="E320" s="198"/>
      <c r="F320" s="208"/>
      <c r="G320" s="208"/>
      <c r="H320" s="208"/>
      <c r="I320" s="49"/>
      <c r="J320" s="49"/>
      <c r="K320" s="49"/>
      <c r="L320" s="19"/>
    </row>
    <row r="321" spans="2:12" x14ac:dyDescent="0.2">
      <c r="B321" s="49"/>
      <c r="D321" s="198"/>
      <c r="E321" s="198"/>
      <c r="F321" s="208"/>
      <c r="G321" s="208"/>
      <c r="H321" s="208"/>
      <c r="I321" s="49"/>
      <c r="J321" s="49"/>
      <c r="K321" s="49"/>
      <c r="L321" s="19"/>
    </row>
    <row r="322" spans="2:12" x14ac:dyDescent="0.2">
      <c r="B322" s="49"/>
      <c r="D322" s="198"/>
      <c r="E322" s="198"/>
      <c r="F322" s="208"/>
      <c r="G322" s="208"/>
      <c r="H322" s="208"/>
      <c r="I322" s="49"/>
      <c r="J322" s="49"/>
      <c r="K322" s="49"/>
      <c r="L322" s="19"/>
    </row>
    <row r="323" spans="2:12" x14ac:dyDescent="0.2">
      <c r="B323" s="49"/>
      <c r="D323" s="198"/>
      <c r="E323" s="198"/>
      <c r="F323" s="208"/>
      <c r="G323" s="208"/>
      <c r="H323" s="208"/>
      <c r="I323" s="49"/>
      <c r="J323" s="49"/>
      <c r="K323" s="49"/>
      <c r="L323" s="19"/>
    </row>
    <row r="324" spans="2:12" x14ac:dyDescent="0.2">
      <c r="B324" s="49"/>
      <c r="D324" s="198"/>
      <c r="E324" s="198"/>
      <c r="F324" s="208"/>
      <c r="G324" s="208"/>
      <c r="H324" s="208"/>
      <c r="I324" s="49"/>
      <c r="J324" s="49"/>
      <c r="K324" s="49"/>
      <c r="L324" s="19"/>
    </row>
    <row r="325" spans="2:12" x14ac:dyDescent="0.2">
      <c r="B325" s="49"/>
      <c r="D325" s="198"/>
      <c r="E325" s="198"/>
      <c r="F325" s="208"/>
      <c r="G325" s="208"/>
      <c r="H325" s="208"/>
      <c r="I325" s="49"/>
      <c r="J325" s="49"/>
      <c r="K325" s="49"/>
      <c r="L325" s="19"/>
    </row>
    <row r="326" spans="2:12" x14ac:dyDescent="0.2">
      <c r="B326" s="49"/>
      <c r="D326" s="198"/>
      <c r="E326" s="198"/>
      <c r="F326" s="208"/>
      <c r="G326" s="208"/>
      <c r="H326" s="208"/>
      <c r="I326" s="49"/>
      <c r="J326" s="49"/>
      <c r="K326" s="49"/>
      <c r="L326" s="19"/>
    </row>
    <row r="327" spans="2:12" x14ac:dyDescent="0.2">
      <c r="B327" s="49"/>
      <c r="D327" s="198"/>
      <c r="E327" s="198"/>
      <c r="F327" s="208"/>
      <c r="G327" s="208"/>
      <c r="H327" s="208"/>
      <c r="I327" s="49"/>
      <c r="J327" s="49"/>
      <c r="K327" s="49"/>
      <c r="L327" s="19"/>
    </row>
    <row r="328" spans="2:12" x14ac:dyDescent="0.2">
      <c r="B328" s="49"/>
      <c r="D328" s="198"/>
      <c r="E328" s="198"/>
      <c r="F328" s="208"/>
      <c r="G328" s="208"/>
      <c r="H328" s="208"/>
      <c r="I328" s="49"/>
      <c r="J328" s="49"/>
      <c r="K328" s="49"/>
      <c r="L328" s="19"/>
    </row>
    <row r="329" spans="2:12" x14ac:dyDescent="0.2">
      <c r="B329" s="49"/>
      <c r="D329" s="198"/>
      <c r="E329" s="198"/>
      <c r="F329" s="208"/>
      <c r="G329" s="208"/>
      <c r="H329" s="208"/>
      <c r="I329" s="49"/>
      <c r="J329" s="49"/>
      <c r="K329" s="49"/>
      <c r="L329" s="19"/>
    </row>
    <row r="330" spans="2:12" x14ac:dyDescent="0.2">
      <c r="B330" s="49"/>
      <c r="D330" s="198"/>
      <c r="E330" s="198"/>
      <c r="F330" s="208"/>
      <c r="G330" s="208"/>
      <c r="H330" s="208"/>
      <c r="I330" s="49"/>
      <c r="J330" s="49"/>
      <c r="K330" s="49"/>
      <c r="L330" s="19"/>
    </row>
    <row r="331" spans="2:12" x14ac:dyDescent="0.2">
      <c r="B331" s="49"/>
      <c r="D331" s="198"/>
      <c r="E331" s="198"/>
      <c r="F331" s="208"/>
      <c r="G331" s="208"/>
      <c r="H331" s="208"/>
      <c r="I331" s="49"/>
      <c r="J331" s="49"/>
      <c r="K331" s="49"/>
      <c r="L331" s="19"/>
    </row>
    <row r="332" spans="2:12" x14ac:dyDescent="0.2">
      <c r="B332" s="49"/>
      <c r="D332" s="198"/>
      <c r="E332" s="198"/>
      <c r="F332" s="208"/>
      <c r="G332" s="208"/>
      <c r="H332" s="208"/>
      <c r="I332" s="49"/>
      <c r="J332" s="49"/>
      <c r="K332" s="49"/>
      <c r="L332" s="19"/>
    </row>
    <row r="333" spans="2:12" x14ac:dyDescent="0.2">
      <c r="B333" s="49"/>
      <c r="D333" s="198"/>
      <c r="E333" s="198"/>
      <c r="F333" s="208"/>
      <c r="G333" s="208"/>
      <c r="H333" s="208"/>
      <c r="I333" s="49"/>
      <c r="J333" s="49"/>
      <c r="K333" s="49"/>
      <c r="L333" s="19"/>
    </row>
    <row r="334" spans="2:12" x14ac:dyDescent="0.2">
      <c r="B334" s="49"/>
      <c r="D334" s="198"/>
      <c r="E334" s="198"/>
      <c r="F334" s="208"/>
      <c r="G334" s="208"/>
      <c r="H334" s="208"/>
      <c r="I334" s="49"/>
      <c r="J334" s="49"/>
      <c r="K334" s="49"/>
      <c r="L334" s="19"/>
    </row>
    <row r="335" spans="2:12" x14ac:dyDescent="0.2">
      <c r="B335" s="49"/>
      <c r="D335" s="198"/>
      <c r="E335" s="198"/>
      <c r="F335" s="208"/>
      <c r="G335" s="208"/>
      <c r="H335" s="208"/>
      <c r="I335" s="49"/>
      <c r="J335" s="49"/>
      <c r="K335" s="49"/>
      <c r="L335" s="19"/>
    </row>
    <row r="336" spans="2:12" x14ac:dyDescent="0.2">
      <c r="B336" s="49"/>
      <c r="D336" s="198"/>
      <c r="E336" s="198"/>
      <c r="F336" s="208"/>
      <c r="G336" s="208"/>
      <c r="H336" s="208"/>
      <c r="I336" s="49"/>
      <c r="J336" s="49"/>
      <c r="K336" s="49"/>
      <c r="L336" s="19"/>
    </row>
    <row r="337" spans="2:12" x14ac:dyDescent="0.2">
      <c r="B337" s="49"/>
      <c r="D337" s="198"/>
      <c r="E337" s="198"/>
      <c r="F337" s="208"/>
      <c r="G337" s="208"/>
      <c r="H337" s="208"/>
      <c r="I337" s="49"/>
      <c r="J337" s="49"/>
      <c r="K337" s="49"/>
      <c r="L337" s="19"/>
    </row>
    <row r="338" spans="2:12" x14ac:dyDescent="0.2">
      <c r="B338" s="49"/>
      <c r="D338" s="198"/>
      <c r="E338" s="198"/>
      <c r="F338" s="208"/>
      <c r="G338" s="208"/>
      <c r="H338" s="208"/>
      <c r="I338" s="49"/>
      <c r="J338" s="49"/>
      <c r="K338" s="49"/>
      <c r="L338" s="19"/>
    </row>
    <row r="339" spans="2:12" x14ac:dyDescent="0.2">
      <c r="B339" s="49"/>
      <c r="D339" s="198"/>
      <c r="E339" s="198"/>
      <c r="F339" s="208"/>
      <c r="G339" s="208"/>
      <c r="H339" s="208"/>
      <c r="I339" s="49"/>
      <c r="J339" s="49"/>
      <c r="K339" s="49"/>
      <c r="L339" s="19"/>
    </row>
    <row r="340" spans="2:12" x14ac:dyDescent="0.2">
      <c r="B340" s="49"/>
      <c r="D340" s="198"/>
      <c r="E340" s="198"/>
      <c r="F340" s="208"/>
      <c r="G340" s="208"/>
      <c r="H340" s="208"/>
      <c r="I340" s="49"/>
      <c r="J340" s="49"/>
      <c r="K340" s="49"/>
      <c r="L340" s="19"/>
    </row>
    <row r="341" spans="2:12" x14ac:dyDescent="0.2">
      <c r="B341" s="49"/>
      <c r="D341" s="198"/>
      <c r="E341" s="198"/>
      <c r="F341" s="208"/>
      <c r="G341" s="208"/>
      <c r="H341" s="208"/>
      <c r="I341" s="49"/>
      <c r="J341" s="49"/>
      <c r="K341" s="49"/>
      <c r="L341" s="19"/>
    </row>
    <row r="342" spans="2:12" x14ac:dyDescent="0.2">
      <c r="B342" s="49"/>
      <c r="D342" s="198"/>
      <c r="E342" s="198"/>
      <c r="F342" s="208"/>
      <c r="G342" s="208"/>
      <c r="H342" s="208"/>
      <c r="I342" s="49"/>
      <c r="J342" s="49"/>
      <c r="K342" s="49"/>
      <c r="L342" s="19"/>
    </row>
    <row r="343" spans="2:12" x14ac:dyDescent="0.2">
      <c r="B343" s="49"/>
      <c r="D343" s="198"/>
      <c r="E343" s="198"/>
      <c r="F343" s="208"/>
      <c r="G343" s="208"/>
      <c r="H343" s="208"/>
      <c r="I343" s="49"/>
      <c r="J343" s="49"/>
      <c r="K343" s="49"/>
      <c r="L343" s="19"/>
    </row>
    <row r="344" spans="2:12" x14ac:dyDescent="0.2">
      <c r="B344" s="49"/>
      <c r="D344" s="198"/>
      <c r="E344" s="198"/>
      <c r="F344" s="208"/>
      <c r="G344" s="208"/>
      <c r="H344" s="208"/>
      <c r="I344" s="49"/>
      <c r="J344" s="49"/>
      <c r="K344" s="49"/>
      <c r="L344" s="19"/>
    </row>
    <row r="345" spans="2:12" x14ac:dyDescent="0.2">
      <c r="B345" s="49"/>
      <c r="D345" s="198"/>
      <c r="E345" s="198"/>
      <c r="F345" s="208"/>
      <c r="G345" s="208"/>
      <c r="H345" s="208"/>
      <c r="I345" s="49"/>
      <c r="J345" s="49"/>
      <c r="K345" s="49"/>
      <c r="L345" s="19"/>
    </row>
    <row r="346" spans="2:12" x14ac:dyDescent="0.2">
      <c r="B346" s="49"/>
      <c r="D346" s="198"/>
      <c r="E346" s="198"/>
      <c r="F346" s="208"/>
      <c r="G346" s="208"/>
      <c r="H346" s="208"/>
      <c r="I346" s="49"/>
      <c r="J346" s="49"/>
      <c r="K346" s="49"/>
      <c r="L346" s="19"/>
    </row>
    <row r="347" spans="2:12" x14ac:dyDescent="0.2">
      <c r="B347" s="49"/>
      <c r="D347" s="198"/>
      <c r="E347" s="198"/>
      <c r="F347" s="208"/>
      <c r="G347" s="208"/>
      <c r="H347" s="208"/>
      <c r="I347" s="49"/>
      <c r="J347" s="49"/>
      <c r="K347" s="49"/>
      <c r="L347" s="19"/>
    </row>
    <row r="348" spans="2:12" x14ac:dyDescent="0.2">
      <c r="B348" s="49"/>
      <c r="D348" s="198"/>
      <c r="E348" s="198"/>
      <c r="F348" s="208"/>
      <c r="G348" s="208"/>
      <c r="H348" s="208"/>
      <c r="I348" s="49"/>
      <c r="J348" s="49"/>
      <c r="K348" s="49"/>
      <c r="L348" s="19"/>
    </row>
    <row r="349" spans="2:12" x14ac:dyDescent="0.2">
      <c r="B349" s="49"/>
      <c r="D349" s="198"/>
      <c r="E349" s="198"/>
      <c r="F349" s="208"/>
      <c r="G349" s="208"/>
      <c r="H349" s="208"/>
      <c r="I349" s="49"/>
      <c r="J349" s="49"/>
      <c r="K349" s="49"/>
      <c r="L349" s="19"/>
    </row>
    <row r="350" spans="2:12" x14ac:dyDescent="0.2">
      <c r="B350" s="49"/>
      <c r="D350" s="198"/>
      <c r="E350" s="198"/>
      <c r="F350" s="208"/>
      <c r="G350" s="208"/>
      <c r="H350" s="208"/>
      <c r="I350" s="49"/>
      <c r="J350" s="49"/>
      <c r="K350" s="49"/>
      <c r="L350" s="19"/>
    </row>
    <row r="351" spans="2:12" x14ac:dyDescent="0.2">
      <c r="B351" s="49"/>
      <c r="D351" s="198"/>
      <c r="E351" s="198"/>
      <c r="F351" s="208"/>
      <c r="G351" s="208"/>
      <c r="H351" s="208"/>
      <c r="I351" s="49"/>
      <c r="J351" s="49"/>
      <c r="K351" s="49"/>
      <c r="L351" s="19"/>
    </row>
    <row r="352" spans="2:12" x14ac:dyDescent="0.2">
      <c r="B352" s="49"/>
      <c r="D352" s="198"/>
      <c r="E352" s="198"/>
      <c r="F352" s="208"/>
      <c r="G352" s="208"/>
      <c r="H352" s="208"/>
      <c r="I352" s="49"/>
      <c r="J352" s="49"/>
      <c r="K352" s="49"/>
      <c r="L352" s="19"/>
    </row>
    <row r="353" spans="2:12" x14ac:dyDescent="0.2">
      <c r="B353" s="49"/>
      <c r="D353" s="198"/>
      <c r="E353" s="198"/>
      <c r="F353" s="208"/>
      <c r="G353" s="208"/>
      <c r="H353" s="208"/>
      <c r="I353" s="49"/>
      <c r="J353" s="49"/>
      <c r="K353" s="49"/>
      <c r="L353" s="19"/>
    </row>
    <row r="354" spans="2:12" x14ac:dyDescent="0.2">
      <c r="B354" s="49"/>
      <c r="D354" s="198"/>
      <c r="E354" s="198"/>
      <c r="F354" s="208"/>
      <c r="G354" s="208"/>
      <c r="H354" s="208"/>
      <c r="I354" s="49"/>
      <c r="J354" s="49"/>
      <c r="K354" s="49"/>
      <c r="L354" s="19"/>
    </row>
    <row r="355" spans="2:12" x14ac:dyDescent="0.2">
      <c r="B355" s="49"/>
      <c r="D355" s="198"/>
      <c r="E355" s="198"/>
      <c r="F355" s="208"/>
      <c r="G355" s="208"/>
      <c r="H355" s="208"/>
      <c r="I355" s="49"/>
      <c r="J355" s="49"/>
      <c r="K355" s="49"/>
      <c r="L355" s="19"/>
    </row>
    <row r="356" spans="2:12" x14ac:dyDescent="0.2">
      <c r="B356" s="49"/>
      <c r="D356" s="198"/>
      <c r="E356" s="198"/>
      <c r="F356" s="208"/>
      <c r="G356" s="208"/>
      <c r="H356" s="208"/>
      <c r="I356" s="49"/>
      <c r="J356" s="49"/>
      <c r="K356" s="49"/>
      <c r="L356" s="19"/>
    </row>
    <row r="357" spans="2:12" x14ac:dyDescent="0.2">
      <c r="B357" s="49"/>
      <c r="D357" s="198"/>
      <c r="E357" s="198"/>
      <c r="F357" s="208"/>
      <c r="G357" s="208"/>
      <c r="H357" s="208"/>
      <c r="I357" s="49"/>
      <c r="J357" s="49"/>
      <c r="K357" s="49"/>
      <c r="L357" s="19"/>
    </row>
    <row r="358" spans="2:12" x14ac:dyDescent="0.2">
      <c r="B358" s="49"/>
      <c r="D358" s="198"/>
      <c r="E358" s="198"/>
      <c r="F358" s="208"/>
      <c r="G358" s="208"/>
      <c r="H358" s="208"/>
      <c r="I358" s="49"/>
      <c r="J358" s="49"/>
      <c r="K358" s="49"/>
      <c r="L358" s="19"/>
    </row>
    <row r="359" spans="2:12" x14ac:dyDescent="0.2">
      <c r="B359" s="49"/>
      <c r="D359" s="198"/>
      <c r="E359" s="198"/>
      <c r="F359" s="208"/>
      <c r="G359" s="208"/>
      <c r="H359" s="208"/>
      <c r="I359" s="49"/>
      <c r="J359" s="49"/>
      <c r="K359" s="49"/>
      <c r="L359" s="19"/>
    </row>
    <row r="360" spans="2:12" x14ac:dyDescent="0.2">
      <c r="B360" s="49"/>
      <c r="D360" s="198"/>
      <c r="E360" s="198"/>
      <c r="F360" s="208"/>
      <c r="G360" s="208"/>
      <c r="H360" s="208"/>
      <c r="I360" s="49"/>
      <c r="J360" s="49"/>
      <c r="K360" s="49"/>
      <c r="L360" s="19"/>
    </row>
    <row r="361" spans="2:12" x14ac:dyDescent="0.2">
      <c r="B361" s="49"/>
      <c r="D361" s="198"/>
      <c r="E361" s="198"/>
      <c r="F361" s="208"/>
      <c r="G361" s="208"/>
      <c r="H361" s="208"/>
      <c r="I361" s="49"/>
      <c r="J361" s="49"/>
      <c r="K361" s="49"/>
      <c r="L361" s="19"/>
    </row>
    <row r="362" spans="2:12" x14ac:dyDescent="0.2">
      <c r="B362" s="49"/>
      <c r="D362" s="198"/>
      <c r="E362" s="198"/>
      <c r="F362" s="208"/>
      <c r="G362" s="208"/>
      <c r="H362" s="208"/>
      <c r="I362" s="49"/>
      <c r="J362" s="49"/>
      <c r="K362" s="49"/>
      <c r="L362" s="19"/>
    </row>
    <row r="363" spans="2:12" x14ac:dyDescent="0.2">
      <c r="B363" s="49"/>
      <c r="D363" s="198"/>
      <c r="E363" s="198"/>
      <c r="F363" s="208"/>
      <c r="G363" s="208"/>
      <c r="H363" s="208"/>
      <c r="I363" s="49"/>
      <c r="J363" s="49"/>
      <c r="K363" s="49"/>
      <c r="L363" s="19"/>
    </row>
    <row r="364" spans="2:12" x14ac:dyDescent="0.2">
      <c r="B364" s="49"/>
      <c r="D364" s="198"/>
      <c r="E364" s="198"/>
      <c r="F364" s="208"/>
      <c r="G364" s="208"/>
      <c r="H364" s="208"/>
      <c r="I364" s="49"/>
      <c r="J364" s="49"/>
      <c r="K364" s="49"/>
      <c r="L364" s="19"/>
    </row>
    <row r="365" spans="2:12" x14ac:dyDescent="0.2">
      <c r="B365" s="49"/>
      <c r="D365" s="198"/>
      <c r="E365" s="198"/>
      <c r="F365" s="208"/>
      <c r="G365" s="208"/>
      <c r="H365" s="208"/>
      <c r="I365" s="49"/>
      <c r="J365" s="49"/>
      <c r="K365" s="49"/>
      <c r="L365" s="19"/>
    </row>
    <row r="366" spans="2:12" x14ac:dyDescent="0.2">
      <c r="B366" s="49"/>
      <c r="D366" s="198"/>
      <c r="E366" s="198"/>
      <c r="F366" s="208"/>
      <c r="G366" s="208"/>
      <c r="H366" s="208"/>
      <c r="I366" s="49"/>
      <c r="J366" s="49"/>
      <c r="K366" s="49"/>
      <c r="L366" s="19"/>
    </row>
    <row r="367" spans="2:12" x14ac:dyDescent="0.2">
      <c r="B367" s="49"/>
      <c r="D367" s="198"/>
      <c r="E367" s="198"/>
      <c r="F367" s="208"/>
      <c r="G367" s="208"/>
      <c r="H367" s="208"/>
      <c r="I367" s="49"/>
      <c r="J367" s="49"/>
      <c r="K367" s="49"/>
      <c r="L367" s="19"/>
    </row>
    <row r="368" spans="2:12" x14ac:dyDescent="0.2">
      <c r="B368" s="49"/>
      <c r="D368" s="198"/>
      <c r="E368" s="198"/>
      <c r="F368" s="208"/>
      <c r="G368" s="208"/>
      <c r="H368" s="208"/>
      <c r="I368" s="49"/>
      <c r="J368" s="49"/>
      <c r="K368" s="49"/>
      <c r="L368" s="19"/>
    </row>
    <row r="369" spans="2:12" x14ac:dyDescent="0.2">
      <c r="B369" s="49"/>
      <c r="D369" s="198"/>
      <c r="E369" s="198"/>
      <c r="F369" s="208"/>
      <c r="G369" s="208"/>
      <c r="H369" s="208"/>
      <c r="I369" s="49"/>
      <c r="J369" s="49"/>
      <c r="K369" s="49"/>
      <c r="L369" s="19"/>
    </row>
    <row r="370" spans="2:12" x14ac:dyDescent="0.2">
      <c r="B370" s="49"/>
      <c r="D370" s="198"/>
      <c r="E370" s="198"/>
      <c r="F370" s="208"/>
      <c r="G370" s="208"/>
      <c r="H370" s="208"/>
      <c r="I370" s="49"/>
      <c r="J370" s="49"/>
      <c r="K370" s="49"/>
      <c r="L370" s="19"/>
    </row>
    <row r="371" spans="2:12" x14ac:dyDescent="0.2">
      <c r="B371" s="49"/>
      <c r="D371" s="198"/>
      <c r="E371" s="198"/>
      <c r="F371" s="208"/>
      <c r="G371" s="208"/>
      <c r="H371" s="208"/>
      <c r="I371" s="49"/>
      <c r="J371" s="49"/>
      <c r="K371" s="49"/>
      <c r="L371" s="19"/>
    </row>
    <row r="372" spans="2:12" x14ac:dyDescent="0.2">
      <c r="B372" s="49"/>
      <c r="D372" s="198"/>
      <c r="E372" s="198"/>
      <c r="F372" s="208"/>
      <c r="G372" s="208"/>
      <c r="H372" s="208"/>
      <c r="I372" s="49"/>
      <c r="J372" s="49"/>
      <c r="K372" s="49"/>
      <c r="L372" s="19"/>
    </row>
    <row r="373" spans="2:12" x14ac:dyDescent="0.2">
      <c r="B373" s="49"/>
      <c r="D373" s="198"/>
      <c r="E373" s="198"/>
      <c r="F373" s="208"/>
      <c r="G373" s="208"/>
      <c r="H373" s="208"/>
      <c r="I373" s="49"/>
      <c r="J373" s="49"/>
      <c r="K373" s="49"/>
      <c r="L373" s="19"/>
    </row>
    <row r="374" spans="2:12" x14ac:dyDescent="0.2">
      <c r="B374" s="49"/>
      <c r="D374" s="198"/>
      <c r="E374" s="198"/>
      <c r="F374" s="208"/>
      <c r="G374" s="208"/>
      <c r="H374" s="208"/>
      <c r="I374" s="49"/>
      <c r="J374" s="49"/>
      <c r="K374" s="49"/>
      <c r="L374" s="19"/>
    </row>
    <row r="375" spans="2:12" x14ac:dyDescent="0.2">
      <c r="B375" s="49"/>
      <c r="D375" s="198"/>
      <c r="E375" s="198"/>
      <c r="F375" s="208"/>
      <c r="G375" s="208"/>
      <c r="H375" s="208"/>
      <c r="I375" s="49"/>
      <c r="J375" s="49"/>
      <c r="K375" s="49"/>
      <c r="L375" s="19"/>
    </row>
    <row r="376" spans="2:12" x14ac:dyDescent="0.2">
      <c r="B376" s="49"/>
      <c r="D376" s="198"/>
      <c r="E376" s="198"/>
      <c r="F376" s="208"/>
      <c r="G376" s="208"/>
      <c r="H376" s="208"/>
      <c r="I376" s="49"/>
      <c r="J376" s="49"/>
      <c r="K376" s="49"/>
      <c r="L376" s="19"/>
    </row>
    <row r="377" spans="2:12" x14ac:dyDescent="0.2">
      <c r="B377" s="49"/>
      <c r="D377" s="198"/>
      <c r="E377" s="198"/>
      <c r="F377" s="208"/>
      <c r="G377" s="208"/>
      <c r="H377" s="208"/>
      <c r="I377" s="49"/>
      <c r="J377" s="49"/>
      <c r="K377" s="49"/>
      <c r="L377" s="19"/>
    </row>
    <row r="378" spans="2:12" x14ac:dyDescent="0.2">
      <c r="B378" s="49"/>
      <c r="D378" s="198"/>
      <c r="E378" s="198"/>
      <c r="F378" s="208"/>
      <c r="G378" s="208"/>
      <c r="H378" s="208"/>
      <c r="I378" s="49"/>
      <c r="J378" s="49"/>
      <c r="K378" s="49"/>
      <c r="L378" s="19"/>
    </row>
    <row r="379" spans="2:12" x14ac:dyDescent="0.2">
      <c r="B379" s="49"/>
      <c r="D379" s="198"/>
      <c r="E379" s="198"/>
      <c r="F379" s="208"/>
      <c r="G379" s="208"/>
      <c r="H379" s="208"/>
      <c r="I379" s="49"/>
      <c r="J379" s="49"/>
      <c r="K379" s="49"/>
      <c r="L379" s="19"/>
    </row>
    <row r="380" spans="2:12" x14ac:dyDescent="0.2">
      <c r="B380" s="49"/>
      <c r="D380" s="198"/>
      <c r="E380" s="198"/>
      <c r="F380" s="208"/>
      <c r="G380" s="208"/>
      <c r="H380" s="208"/>
      <c r="I380" s="49"/>
      <c r="J380" s="49"/>
      <c r="K380" s="49"/>
      <c r="L380" s="19"/>
    </row>
    <row r="381" spans="2:12" x14ac:dyDescent="0.2">
      <c r="B381" s="49"/>
      <c r="D381" s="198"/>
      <c r="E381" s="198"/>
      <c r="F381" s="208"/>
      <c r="G381" s="208"/>
      <c r="H381" s="208"/>
      <c r="I381" s="49"/>
      <c r="J381" s="49"/>
      <c r="K381" s="49"/>
      <c r="L381" s="19"/>
    </row>
    <row r="382" spans="2:12" x14ac:dyDescent="0.2">
      <c r="B382" s="49"/>
      <c r="D382" s="198"/>
      <c r="E382" s="198"/>
      <c r="F382" s="208"/>
      <c r="G382" s="208"/>
      <c r="H382" s="208"/>
      <c r="I382" s="49"/>
      <c r="J382" s="49"/>
      <c r="K382" s="49"/>
      <c r="L382" s="19"/>
    </row>
    <row r="383" spans="2:12" x14ac:dyDescent="0.2">
      <c r="B383" s="49"/>
      <c r="D383" s="198"/>
      <c r="E383" s="198"/>
      <c r="F383" s="208"/>
      <c r="G383" s="208"/>
      <c r="H383" s="208"/>
      <c r="I383" s="49"/>
      <c r="J383" s="49"/>
      <c r="K383" s="49"/>
      <c r="L383" s="19"/>
    </row>
    <row r="384" spans="2:12" x14ac:dyDescent="0.2">
      <c r="B384" s="49"/>
      <c r="D384" s="198"/>
      <c r="E384" s="198"/>
      <c r="F384" s="208"/>
      <c r="G384" s="208"/>
      <c r="H384" s="208"/>
      <c r="I384" s="49"/>
      <c r="J384" s="49"/>
      <c r="K384" s="49"/>
      <c r="L384" s="19"/>
    </row>
    <row r="385" spans="2:12" x14ac:dyDescent="0.2">
      <c r="B385" s="49"/>
      <c r="D385" s="198"/>
      <c r="E385" s="198"/>
      <c r="F385" s="208"/>
      <c r="G385" s="208"/>
      <c r="H385" s="208"/>
      <c r="I385" s="49"/>
      <c r="J385" s="49"/>
      <c r="K385" s="49"/>
      <c r="L385" s="19"/>
    </row>
    <row r="386" spans="2:12" x14ac:dyDescent="0.2">
      <c r="B386" s="49"/>
      <c r="D386" s="198"/>
      <c r="E386" s="198"/>
      <c r="F386" s="208"/>
      <c r="G386" s="208"/>
      <c r="H386" s="208"/>
      <c r="I386" s="49"/>
      <c r="J386" s="49"/>
      <c r="K386" s="49"/>
      <c r="L386" s="19"/>
    </row>
    <row r="387" spans="2:12" x14ac:dyDescent="0.2">
      <c r="B387" s="49"/>
      <c r="D387" s="198"/>
      <c r="E387" s="198"/>
      <c r="F387" s="208"/>
      <c r="G387" s="208"/>
      <c r="H387" s="208"/>
      <c r="I387" s="49"/>
      <c r="J387" s="49"/>
      <c r="K387" s="49"/>
      <c r="L387" s="19"/>
    </row>
    <row r="388" spans="2:12" x14ac:dyDescent="0.2">
      <c r="B388" s="49"/>
      <c r="D388" s="198"/>
      <c r="E388" s="198"/>
      <c r="F388" s="208"/>
      <c r="G388" s="208"/>
      <c r="H388" s="208"/>
      <c r="I388" s="49"/>
      <c r="J388" s="49"/>
      <c r="K388" s="49"/>
      <c r="L388" s="19"/>
    </row>
    <row r="389" spans="2:12" x14ac:dyDescent="0.2">
      <c r="B389" s="49"/>
      <c r="D389" s="198"/>
      <c r="E389" s="198"/>
      <c r="F389" s="208"/>
      <c r="G389" s="208"/>
      <c r="H389" s="208"/>
      <c r="I389" s="49"/>
      <c r="J389" s="49"/>
      <c r="K389" s="49"/>
      <c r="L389" s="19"/>
    </row>
    <row r="390" spans="2:12" x14ac:dyDescent="0.2">
      <c r="B390" s="49"/>
      <c r="D390" s="198"/>
      <c r="E390" s="198"/>
      <c r="F390" s="208"/>
      <c r="G390" s="208"/>
      <c r="H390" s="208"/>
      <c r="I390" s="49"/>
      <c r="J390" s="49"/>
      <c r="K390" s="49"/>
      <c r="L390" s="19"/>
    </row>
    <row r="391" spans="2:12" x14ac:dyDescent="0.2">
      <c r="B391" s="49"/>
      <c r="D391" s="198"/>
      <c r="E391" s="198"/>
      <c r="F391" s="208"/>
      <c r="G391" s="208"/>
      <c r="H391" s="208"/>
      <c r="I391" s="49"/>
      <c r="J391" s="49"/>
      <c r="K391" s="49"/>
      <c r="L391" s="19"/>
    </row>
    <row r="392" spans="2:12" x14ac:dyDescent="0.2">
      <c r="B392" s="49"/>
      <c r="D392" s="198"/>
      <c r="E392" s="198"/>
      <c r="F392" s="208"/>
      <c r="G392" s="208"/>
      <c r="H392" s="208"/>
      <c r="I392" s="49"/>
      <c r="J392" s="49"/>
      <c r="K392" s="49"/>
      <c r="L392" s="19"/>
    </row>
    <row r="393" spans="2:12" x14ac:dyDescent="0.2">
      <c r="B393" s="49"/>
      <c r="D393" s="198"/>
      <c r="E393" s="198"/>
      <c r="F393" s="208"/>
      <c r="G393" s="208"/>
      <c r="H393" s="208"/>
      <c r="I393" s="49"/>
      <c r="J393" s="49"/>
      <c r="K393" s="49"/>
      <c r="L393" s="19"/>
    </row>
    <row r="394" spans="2:12" x14ac:dyDescent="0.2">
      <c r="B394" s="49"/>
      <c r="D394" s="198"/>
      <c r="E394" s="198"/>
      <c r="F394" s="208"/>
      <c r="G394" s="208"/>
      <c r="H394" s="208"/>
      <c r="I394" s="49"/>
      <c r="J394" s="49"/>
      <c r="K394" s="49"/>
      <c r="L394" s="19"/>
    </row>
    <row r="395" spans="2:12" x14ac:dyDescent="0.2">
      <c r="B395" s="49"/>
      <c r="D395" s="198"/>
      <c r="E395" s="198"/>
      <c r="F395" s="208"/>
      <c r="G395" s="208"/>
      <c r="H395" s="208"/>
      <c r="I395" s="49"/>
      <c r="J395" s="49"/>
      <c r="K395" s="49"/>
      <c r="L395" s="19"/>
    </row>
    <row r="396" spans="2:12" x14ac:dyDescent="0.2">
      <c r="B396" s="49"/>
      <c r="D396" s="198"/>
      <c r="E396" s="198"/>
      <c r="F396" s="208"/>
      <c r="G396" s="208"/>
      <c r="H396" s="208"/>
      <c r="I396" s="49"/>
      <c r="J396" s="49"/>
      <c r="K396" s="49"/>
      <c r="L396" s="19"/>
    </row>
    <row r="397" spans="2:12" x14ac:dyDescent="0.2">
      <c r="B397" s="49"/>
      <c r="D397" s="198"/>
      <c r="E397" s="198"/>
      <c r="F397" s="208"/>
      <c r="G397" s="208"/>
      <c r="H397" s="208"/>
      <c r="I397" s="49"/>
      <c r="J397" s="49"/>
      <c r="K397" s="49"/>
      <c r="L397" s="19"/>
    </row>
    <row r="398" spans="2:12" x14ac:dyDescent="0.2">
      <c r="B398" s="49"/>
      <c r="D398" s="198"/>
      <c r="E398" s="198"/>
      <c r="F398" s="208"/>
      <c r="G398" s="208"/>
      <c r="H398" s="208"/>
      <c r="I398" s="49"/>
      <c r="J398" s="49"/>
      <c r="K398" s="49"/>
      <c r="L398" s="19"/>
    </row>
    <row r="399" spans="2:12" x14ac:dyDescent="0.2">
      <c r="B399" s="49"/>
      <c r="D399" s="198"/>
      <c r="E399" s="198"/>
      <c r="F399" s="208"/>
      <c r="G399" s="208"/>
      <c r="H399" s="208"/>
      <c r="I399" s="49"/>
      <c r="J399" s="49"/>
      <c r="K399" s="49"/>
      <c r="L399" s="19"/>
    </row>
    <row r="400" spans="2:12" x14ac:dyDescent="0.2">
      <c r="B400" s="49"/>
      <c r="D400" s="198"/>
      <c r="E400" s="198"/>
      <c r="F400" s="208"/>
      <c r="G400" s="208"/>
      <c r="H400" s="208"/>
      <c r="I400" s="49"/>
      <c r="J400" s="49"/>
      <c r="K400" s="49"/>
      <c r="L400" s="19"/>
    </row>
    <row r="401" spans="2:12" x14ac:dyDescent="0.2">
      <c r="B401" s="49"/>
      <c r="D401" s="198"/>
      <c r="E401" s="198"/>
      <c r="F401" s="208"/>
      <c r="G401" s="208"/>
      <c r="H401" s="208"/>
      <c r="I401" s="49"/>
      <c r="J401" s="49"/>
      <c r="K401" s="49"/>
      <c r="L401" s="19"/>
    </row>
    <row r="402" spans="2:12" x14ac:dyDescent="0.2">
      <c r="B402" s="49"/>
      <c r="D402" s="198"/>
      <c r="E402" s="198"/>
      <c r="F402" s="208"/>
      <c r="G402" s="208"/>
      <c r="H402" s="208"/>
      <c r="I402" s="49"/>
      <c r="J402" s="49"/>
      <c r="K402" s="49"/>
      <c r="L402" s="19"/>
    </row>
    <row r="403" spans="2:12" x14ac:dyDescent="0.2">
      <c r="B403" s="49"/>
      <c r="D403" s="198"/>
      <c r="E403" s="198"/>
      <c r="F403" s="208"/>
      <c r="G403" s="208"/>
      <c r="H403" s="208"/>
      <c r="I403" s="49"/>
      <c r="J403" s="49"/>
      <c r="K403" s="49"/>
      <c r="L403" s="19"/>
    </row>
    <row r="404" spans="2:12" x14ac:dyDescent="0.2">
      <c r="B404" s="49"/>
      <c r="D404" s="198"/>
      <c r="E404" s="198"/>
      <c r="F404" s="208"/>
      <c r="G404" s="208"/>
      <c r="H404" s="208"/>
      <c r="I404" s="49"/>
      <c r="J404" s="49"/>
      <c r="K404" s="49"/>
      <c r="L404" s="19"/>
    </row>
    <row r="405" spans="2:12" x14ac:dyDescent="0.2">
      <c r="B405" s="49"/>
      <c r="D405" s="198"/>
      <c r="E405" s="198"/>
      <c r="F405" s="208"/>
      <c r="G405" s="208"/>
      <c r="H405" s="208"/>
      <c r="I405" s="49"/>
      <c r="J405" s="49"/>
      <c r="K405" s="49"/>
      <c r="L405" s="19"/>
    </row>
    <row r="406" spans="2:12" x14ac:dyDescent="0.2">
      <c r="B406" s="49"/>
      <c r="D406" s="198"/>
      <c r="E406" s="198"/>
      <c r="F406" s="208"/>
      <c r="G406" s="208"/>
      <c r="H406" s="208"/>
      <c r="I406" s="49"/>
      <c r="J406" s="49"/>
      <c r="K406" s="49"/>
      <c r="L406" s="19"/>
    </row>
    <row r="407" spans="2:12" x14ac:dyDescent="0.2">
      <c r="B407" s="49"/>
      <c r="D407" s="198"/>
      <c r="E407" s="198"/>
      <c r="F407" s="208"/>
      <c r="G407" s="208"/>
      <c r="H407" s="208"/>
      <c r="I407" s="49"/>
      <c r="J407" s="49"/>
      <c r="K407" s="49"/>
      <c r="L407" s="19"/>
    </row>
    <row r="408" spans="2:12" x14ac:dyDescent="0.2">
      <c r="B408" s="49"/>
      <c r="D408" s="198"/>
      <c r="E408" s="198"/>
      <c r="F408" s="208"/>
      <c r="G408" s="208"/>
      <c r="H408" s="208"/>
      <c r="I408" s="49"/>
      <c r="J408" s="49"/>
      <c r="K408" s="49"/>
      <c r="L408" s="19"/>
    </row>
    <row r="409" spans="2:12" x14ac:dyDescent="0.2">
      <c r="B409" s="49"/>
      <c r="D409" s="198"/>
      <c r="E409" s="198"/>
      <c r="F409" s="208"/>
      <c r="G409" s="208"/>
      <c r="H409" s="208"/>
      <c r="I409" s="49"/>
      <c r="J409" s="49"/>
      <c r="K409" s="49"/>
      <c r="L409" s="19"/>
    </row>
    <row r="410" spans="2:12" x14ac:dyDescent="0.2">
      <c r="B410" s="49"/>
      <c r="D410" s="198"/>
      <c r="E410" s="198"/>
      <c r="F410" s="208"/>
      <c r="G410" s="208"/>
      <c r="H410" s="208"/>
      <c r="I410" s="49"/>
      <c r="J410" s="49"/>
      <c r="K410" s="49"/>
      <c r="L410" s="19"/>
    </row>
    <row r="411" spans="2:12" x14ac:dyDescent="0.2">
      <c r="B411" s="49"/>
      <c r="D411" s="198"/>
      <c r="E411" s="198"/>
      <c r="F411" s="208"/>
      <c r="G411" s="208"/>
      <c r="H411" s="208"/>
      <c r="I411" s="49"/>
      <c r="J411" s="49"/>
      <c r="K411" s="49"/>
      <c r="L411" s="19"/>
    </row>
    <row r="412" spans="2:12" x14ac:dyDescent="0.2">
      <c r="B412" s="49"/>
      <c r="D412" s="198"/>
      <c r="E412" s="198"/>
      <c r="F412" s="208"/>
      <c r="G412" s="208"/>
      <c r="H412" s="208"/>
      <c r="I412" s="49"/>
      <c r="J412" s="49"/>
      <c r="K412" s="49"/>
      <c r="L412" s="19"/>
    </row>
    <row r="413" spans="2:12" x14ac:dyDescent="0.2">
      <c r="B413" s="49"/>
      <c r="D413" s="198"/>
      <c r="E413" s="198"/>
      <c r="F413" s="208"/>
      <c r="G413" s="208"/>
      <c r="H413" s="208"/>
      <c r="I413" s="49"/>
      <c r="J413" s="49"/>
      <c r="K413" s="49"/>
      <c r="L413" s="19"/>
    </row>
    <row r="414" spans="2:12" x14ac:dyDescent="0.2">
      <c r="B414" s="49"/>
      <c r="D414" s="198"/>
      <c r="E414" s="198"/>
      <c r="F414" s="208"/>
      <c r="G414" s="208"/>
      <c r="H414" s="208"/>
      <c r="I414" s="49"/>
      <c r="J414" s="49"/>
      <c r="K414" s="49"/>
      <c r="L414" s="19"/>
    </row>
    <row r="415" spans="2:12" x14ac:dyDescent="0.2">
      <c r="B415" s="49"/>
      <c r="D415" s="198"/>
      <c r="E415" s="198"/>
      <c r="F415" s="208"/>
      <c r="G415" s="208"/>
      <c r="H415" s="208"/>
      <c r="I415" s="49"/>
      <c r="J415" s="49"/>
      <c r="K415" s="49"/>
      <c r="L415" s="19"/>
    </row>
    <row r="416" spans="2:12" x14ac:dyDescent="0.2">
      <c r="B416" s="49"/>
      <c r="D416" s="198"/>
      <c r="E416" s="198"/>
      <c r="F416" s="208"/>
      <c r="G416" s="208"/>
      <c r="H416" s="208"/>
      <c r="I416" s="49"/>
      <c r="J416" s="49"/>
      <c r="K416" s="49"/>
      <c r="L416" s="19"/>
    </row>
    <row r="417" spans="2:12" x14ac:dyDescent="0.2">
      <c r="B417" s="49"/>
      <c r="D417" s="198"/>
      <c r="E417" s="198"/>
      <c r="F417" s="208"/>
      <c r="G417" s="208"/>
      <c r="H417" s="208"/>
      <c r="I417" s="49"/>
      <c r="J417" s="49"/>
      <c r="K417" s="49"/>
      <c r="L417" s="19"/>
    </row>
    <row r="418" spans="2:12" x14ac:dyDescent="0.2">
      <c r="B418" s="49"/>
      <c r="D418" s="198"/>
      <c r="E418" s="198"/>
      <c r="F418" s="208"/>
      <c r="G418" s="208"/>
      <c r="H418" s="208"/>
      <c r="I418" s="49"/>
      <c r="J418" s="49"/>
      <c r="K418" s="49"/>
      <c r="L418" s="19"/>
    </row>
    <row r="419" spans="2:12" x14ac:dyDescent="0.2">
      <c r="B419" s="49"/>
      <c r="D419" s="198"/>
      <c r="E419" s="198"/>
      <c r="F419" s="208"/>
      <c r="G419" s="208"/>
      <c r="H419" s="208"/>
      <c r="I419" s="49"/>
      <c r="J419" s="49"/>
      <c r="K419" s="49"/>
      <c r="L419" s="19"/>
    </row>
    <row r="420" spans="2:12" x14ac:dyDescent="0.2">
      <c r="B420" s="49"/>
      <c r="D420" s="198"/>
      <c r="E420" s="198"/>
      <c r="F420" s="208"/>
      <c r="G420" s="208"/>
      <c r="H420" s="208"/>
      <c r="I420" s="49"/>
      <c r="J420" s="49"/>
      <c r="K420" s="49"/>
      <c r="L420" s="19"/>
    </row>
    <row r="421" spans="2:12" x14ac:dyDescent="0.2">
      <c r="B421" s="49"/>
      <c r="D421" s="198"/>
      <c r="E421" s="198"/>
      <c r="F421" s="208"/>
      <c r="G421" s="208"/>
      <c r="H421" s="208"/>
      <c r="I421" s="49"/>
      <c r="J421" s="49"/>
      <c r="K421" s="49"/>
      <c r="L421" s="19"/>
    </row>
    <row r="422" spans="2:12" x14ac:dyDescent="0.2">
      <c r="B422" s="49"/>
      <c r="D422" s="198"/>
      <c r="E422" s="198"/>
      <c r="F422" s="208"/>
      <c r="G422" s="208"/>
      <c r="H422" s="208"/>
      <c r="I422" s="49"/>
      <c r="J422" s="49"/>
      <c r="K422" s="49"/>
      <c r="L422" s="19"/>
    </row>
    <row r="423" spans="2:12" x14ac:dyDescent="0.2">
      <c r="B423" s="49"/>
      <c r="D423" s="198"/>
      <c r="E423" s="198"/>
      <c r="F423" s="208"/>
      <c r="G423" s="208"/>
      <c r="H423" s="208"/>
      <c r="I423" s="49"/>
      <c r="J423" s="49"/>
      <c r="K423" s="49"/>
      <c r="L423" s="19"/>
    </row>
  </sheetData>
  <mergeCells count="18">
    <mergeCell ref="B111:B136"/>
    <mergeCell ref="B137:B153"/>
    <mergeCell ref="B154:B170"/>
    <mergeCell ref="B3:B14"/>
    <mergeCell ref="B15:B28"/>
    <mergeCell ref="B29:B41"/>
    <mergeCell ref="B45:B56"/>
    <mergeCell ref="B57:B70"/>
    <mergeCell ref="B71:B86"/>
    <mergeCell ref="B87:B102"/>
    <mergeCell ref="B103:B110"/>
    <mergeCell ref="B271:B276"/>
    <mergeCell ref="B171:B185"/>
    <mergeCell ref="B186:B204"/>
    <mergeCell ref="B205:B222"/>
    <mergeCell ref="B223:B235"/>
    <mergeCell ref="B236:B256"/>
    <mergeCell ref="B257:B2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9B84-A772-0844-A76B-5DBEE3AE7183}">
  <dimension ref="B1:N104"/>
  <sheetViews>
    <sheetView topLeftCell="A20" zoomScale="125" workbookViewId="0">
      <selection activeCell="C25" sqref="C25:G100"/>
    </sheetView>
  </sheetViews>
  <sheetFormatPr baseColWidth="10" defaultRowHeight="15" x14ac:dyDescent="0.2"/>
  <cols>
    <col min="1" max="2" width="10.83203125" style="152"/>
    <col min="3" max="3" width="8.33203125" style="152" customWidth="1"/>
    <col min="4" max="4" width="5.1640625" style="152" bestFit="1" customWidth="1"/>
    <col min="5" max="5" width="15" style="152" bestFit="1" customWidth="1"/>
    <col min="6" max="6" width="2.83203125" style="152" customWidth="1"/>
    <col min="7" max="7" width="71.83203125" style="152" customWidth="1"/>
    <col min="8" max="16384" width="10.83203125" style="152"/>
  </cols>
  <sheetData>
    <row r="1" spans="2:14" x14ac:dyDescent="0.2">
      <c r="B1" s="153"/>
      <c r="C1" s="153"/>
      <c r="D1" s="153"/>
      <c r="E1" s="153"/>
      <c r="F1" s="153"/>
      <c r="G1" s="153"/>
      <c r="H1" s="153"/>
    </row>
    <row r="2" spans="2:14" x14ac:dyDescent="0.2">
      <c r="B2" s="153"/>
      <c r="C2" s="153"/>
      <c r="D2" s="153"/>
      <c r="E2" s="153"/>
      <c r="F2" s="153"/>
      <c r="G2" s="153"/>
      <c r="H2" s="153"/>
    </row>
    <row r="3" spans="2:14" ht="16" thickBot="1" x14ac:dyDescent="0.25">
      <c r="B3" s="153"/>
      <c r="C3" s="156"/>
      <c r="D3" s="156"/>
      <c r="E3" s="156"/>
      <c r="F3" s="156"/>
      <c r="G3" s="156"/>
      <c r="H3" s="153"/>
    </row>
    <row r="4" spans="2:14" x14ac:dyDescent="0.2">
      <c r="B4" s="181"/>
      <c r="C4" s="168" t="s">
        <v>39</v>
      </c>
      <c r="D4" s="167" t="s">
        <v>348</v>
      </c>
      <c r="E4" s="166" t="s">
        <v>347</v>
      </c>
      <c r="F4" s="166"/>
      <c r="G4" s="165" t="s">
        <v>349</v>
      </c>
      <c r="H4" s="181"/>
    </row>
    <row r="5" spans="2:14" x14ac:dyDescent="0.2">
      <c r="B5" s="162"/>
      <c r="C5" s="225" t="s">
        <v>350</v>
      </c>
      <c r="D5" s="177">
        <v>2020</v>
      </c>
      <c r="E5" s="176">
        <v>18903169</v>
      </c>
      <c r="F5" s="176"/>
      <c r="G5" s="175" t="s">
        <v>351</v>
      </c>
      <c r="H5" s="153"/>
    </row>
    <row r="6" spans="2:14" x14ac:dyDescent="0.2">
      <c r="B6" s="162"/>
      <c r="C6" s="226"/>
      <c r="D6" s="174">
        <v>2021</v>
      </c>
      <c r="E6" s="173">
        <v>196861939</v>
      </c>
      <c r="F6" s="173"/>
      <c r="G6" s="172" t="s">
        <v>352</v>
      </c>
      <c r="H6" s="153"/>
    </row>
    <row r="7" spans="2:14" x14ac:dyDescent="0.2">
      <c r="B7" s="162"/>
      <c r="C7" s="226"/>
      <c r="D7" s="174">
        <v>2022</v>
      </c>
      <c r="E7" s="173">
        <v>227680907</v>
      </c>
      <c r="F7" s="173"/>
      <c r="G7" s="172" t="s">
        <v>353</v>
      </c>
      <c r="H7" s="153"/>
    </row>
    <row r="8" spans="2:14" x14ac:dyDescent="0.2">
      <c r="B8" s="162"/>
      <c r="C8" s="226"/>
      <c r="D8" s="174">
        <v>2023</v>
      </c>
      <c r="E8" s="173">
        <v>71328981</v>
      </c>
      <c r="F8" s="173"/>
      <c r="G8" s="172" t="s">
        <v>354</v>
      </c>
      <c r="H8" s="153"/>
    </row>
    <row r="9" spans="2:14" x14ac:dyDescent="0.2">
      <c r="B9" s="162"/>
      <c r="C9" s="227"/>
      <c r="D9" s="180">
        <v>2024</v>
      </c>
      <c r="E9" s="179">
        <v>9457427</v>
      </c>
      <c r="F9" s="179"/>
      <c r="G9" s="178" t="s">
        <v>355</v>
      </c>
      <c r="H9" s="153"/>
    </row>
    <row r="10" spans="2:14" x14ac:dyDescent="0.2">
      <c r="B10" s="162"/>
      <c r="C10" s="228" t="s">
        <v>356</v>
      </c>
      <c r="D10" s="159">
        <v>2020</v>
      </c>
      <c r="E10" s="164">
        <v>13728198</v>
      </c>
      <c r="F10" s="159"/>
      <c r="G10" s="159" t="s">
        <v>345</v>
      </c>
      <c r="H10" s="153"/>
      <c r="J10" s="155"/>
      <c r="K10" s="154"/>
      <c r="L10" s="154"/>
      <c r="M10" s="154"/>
      <c r="N10" s="154"/>
    </row>
    <row r="11" spans="2:14" x14ac:dyDescent="0.2">
      <c r="B11" s="162"/>
      <c r="C11" s="229"/>
      <c r="D11" s="158">
        <v>2021</v>
      </c>
      <c r="E11" s="163">
        <v>84393505</v>
      </c>
      <c r="F11" s="158"/>
      <c r="G11" s="158" t="s">
        <v>344</v>
      </c>
      <c r="H11" s="153"/>
      <c r="J11" s="155"/>
      <c r="K11" s="154"/>
      <c r="L11" s="154"/>
      <c r="M11" s="154"/>
      <c r="N11" s="154"/>
    </row>
    <row r="12" spans="2:14" x14ac:dyDescent="0.2">
      <c r="B12" s="162"/>
      <c r="C12" s="229"/>
      <c r="D12" s="158">
        <v>2022</v>
      </c>
      <c r="E12" s="163">
        <v>79974012</v>
      </c>
      <c r="F12" s="158"/>
      <c r="G12" s="158" t="s">
        <v>343</v>
      </c>
      <c r="H12" s="153"/>
      <c r="J12" s="155"/>
      <c r="K12" s="154"/>
      <c r="L12" s="154"/>
      <c r="M12" s="154"/>
      <c r="N12" s="154"/>
    </row>
    <row r="13" spans="2:14" x14ac:dyDescent="0.2">
      <c r="B13" s="162"/>
      <c r="C13" s="229"/>
      <c r="D13" s="158">
        <v>2023</v>
      </c>
      <c r="E13" s="163">
        <v>8416483</v>
      </c>
      <c r="F13" s="158"/>
      <c r="G13" s="158" t="s">
        <v>342</v>
      </c>
      <c r="H13" s="153"/>
      <c r="J13" s="155"/>
      <c r="K13" s="154"/>
      <c r="L13" s="154"/>
      <c r="M13" s="154"/>
      <c r="N13" s="154"/>
    </row>
    <row r="14" spans="2:14" x14ac:dyDescent="0.2">
      <c r="B14" s="162"/>
      <c r="C14" s="230"/>
      <c r="D14" s="160">
        <v>2024</v>
      </c>
      <c r="E14" s="161">
        <v>934727</v>
      </c>
      <c r="F14" s="160"/>
      <c r="G14" s="160" t="s">
        <v>341</v>
      </c>
      <c r="H14" s="153"/>
      <c r="J14" s="155"/>
      <c r="K14" s="154"/>
      <c r="L14" s="154"/>
      <c r="M14" s="154"/>
      <c r="N14" s="154"/>
    </row>
    <row r="15" spans="2:14" ht="15" customHeight="1" x14ac:dyDescent="0.2">
      <c r="B15" s="162"/>
      <c r="C15" s="225" t="s">
        <v>295</v>
      </c>
      <c r="D15" s="177">
        <v>2020</v>
      </c>
      <c r="E15" s="176">
        <v>5878</v>
      </c>
      <c r="F15" s="176"/>
      <c r="G15" s="175" t="s">
        <v>357</v>
      </c>
      <c r="H15" s="153"/>
    </row>
    <row r="16" spans="2:14" x14ac:dyDescent="0.2">
      <c r="B16" s="162"/>
      <c r="C16" s="226"/>
      <c r="D16" s="174">
        <v>2021</v>
      </c>
      <c r="E16" s="173">
        <v>215082</v>
      </c>
      <c r="F16" s="173"/>
      <c r="G16" s="172" t="s">
        <v>358</v>
      </c>
      <c r="H16" s="153"/>
    </row>
    <row r="17" spans="2:14" x14ac:dyDescent="0.2">
      <c r="B17" s="162"/>
      <c r="C17" s="226"/>
      <c r="D17" s="174">
        <v>2022</v>
      </c>
      <c r="E17" s="173">
        <v>2827981</v>
      </c>
      <c r="F17" s="173"/>
      <c r="G17" s="172" t="s">
        <v>359</v>
      </c>
      <c r="H17" s="153"/>
    </row>
    <row r="18" spans="2:14" x14ac:dyDescent="0.2">
      <c r="B18" s="162"/>
      <c r="C18" s="226"/>
      <c r="D18" s="174">
        <v>2023</v>
      </c>
      <c r="E18" s="173">
        <v>4438592</v>
      </c>
      <c r="F18" s="173"/>
      <c r="G18" s="172" t="s">
        <v>360</v>
      </c>
      <c r="H18" s="153"/>
    </row>
    <row r="19" spans="2:14" ht="16" thickBot="1" x14ac:dyDescent="0.25">
      <c r="B19" s="162"/>
      <c r="C19" s="231"/>
      <c r="D19" s="171">
        <v>2024</v>
      </c>
      <c r="E19" s="170">
        <v>225726</v>
      </c>
      <c r="F19" s="170"/>
      <c r="G19" s="169" t="s">
        <v>361</v>
      </c>
      <c r="H19" s="153"/>
    </row>
    <row r="20" spans="2:14" x14ac:dyDescent="0.2">
      <c r="B20" s="153"/>
      <c r="C20" s="153"/>
      <c r="D20" s="153"/>
      <c r="E20" s="153"/>
      <c r="F20" s="153"/>
      <c r="G20" s="153"/>
      <c r="H20" s="153"/>
    </row>
    <row r="21" spans="2:14" x14ac:dyDescent="0.2">
      <c r="B21" s="153"/>
      <c r="C21" s="153"/>
      <c r="D21" s="153"/>
      <c r="E21" s="153"/>
      <c r="F21" s="153"/>
      <c r="G21" s="153"/>
      <c r="H21" s="153"/>
    </row>
    <row r="22" spans="2:14" x14ac:dyDescent="0.2">
      <c r="B22" s="153"/>
      <c r="C22" s="153"/>
      <c r="D22" s="153"/>
      <c r="E22" s="153"/>
      <c r="F22" s="153"/>
      <c r="G22" s="153"/>
      <c r="H22" s="153"/>
    </row>
    <row r="23" spans="2:14" x14ac:dyDescent="0.2">
      <c r="B23" s="153"/>
      <c r="C23" s="153"/>
      <c r="D23" s="153"/>
      <c r="E23" s="153"/>
      <c r="F23" s="153"/>
      <c r="G23" s="153"/>
      <c r="H23" s="153"/>
    </row>
    <row r="24" spans="2:14" ht="16" thickBot="1" x14ac:dyDescent="0.25">
      <c r="B24" s="153"/>
      <c r="C24" s="153"/>
      <c r="D24" s="153"/>
      <c r="E24" s="153"/>
      <c r="F24" s="153"/>
      <c r="G24" s="153"/>
      <c r="H24" s="153"/>
    </row>
    <row r="25" spans="2:14" x14ac:dyDescent="0.2">
      <c r="B25" s="153"/>
      <c r="C25" s="168" t="s">
        <v>39</v>
      </c>
      <c r="D25" s="167" t="s">
        <v>348</v>
      </c>
      <c r="E25" s="166" t="s">
        <v>347</v>
      </c>
      <c r="F25" s="166"/>
      <c r="G25" s="165" t="s">
        <v>346</v>
      </c>
      <c r="H25" s="153"/>
    </row>
    <row r="26" spans="2:14" x14ac:dyDescent="0.2">
      <c r="B26" s="162"/>
      <c r="C26" s="225" t="s">
        <v>350</v>
      </c>
      <c r="D26" s="177">
        <v>2020</v>
      </c>
      <c r="E26" s="176">
        <v>18903169</v>
      </c>
      <c r="F26" s="176"/>
      <c r="G26" s="175" t="s">
        <v>351</v>
      </c>
      <c r="H26" s="153"/>
    </row>
    <row r="27" spans="2:14" x14ac:dyDescent="0.2">
      <c r="B27" s="162"/>
      <c r="C27" s="226"/>
      <c r="D27" s="174">
        <v>2021</v>
      </c>
      <c r="E27" s="173">
        <v>196861939</v>
      </c>
      <c r="F27" s="173"/>
      <c r="G27" s="172" t="s">
        <v>352</v>
      </c>
      <c r="H27" s="153"/>
    </row>
    <row r="28" spans="2:14" x14ac:dyDescent="0.2">
      <c r="B28" s="162"/>
      <c r="C28" s="226"/>
      <c r="D28" s="174">
        <v>2022</v>
      </c>
      <c r="E28" s="173">
        <v>227680907</v>
      </c>
      <c r="F28" s="173"/>
      <c r="G28" s="172" t="s">
        <v>353</v>
      </c>
      <c r="H28" s="153"/>
    </row>
    <row r="29" spans="2:14" x14ac:dyDescent="0.2">
      <c r="B29" s="162"/>
      <c r="C29" s="226"/>
      <c r="D29" s="174">
        <v>2023</v>
      </c>
      <c r="E29" s="173">
        <v>71328981</v>
      </c>
      <c r="F29" s="173"/>
      <c r="G29" s="172" t="s">
        <v>354</v>
      </c>
      <c r="H29" s="153"/>
    </row>
    <row r="30" spans="2:14" x14ac:dyDescent="0.2">
      <c r="B30" s="162"/>
      <c r="C30" s="227"/>
      <c r="D30" s="180">
        <v>2024</v>
      </c>
      <c r="E30" s="179">
        <v>9457427</v>
      </c>
      <c r="F30" s="179"/>
      <c r="G30" s="178" t="s">
        <v>355</v>
      </c>
      <c r="H30" s="153"/>
    </row>
    <row r="31" spans="2:14" x14ac:dyDescent="0.2">
      <c r="B31" s="162"/>
      <c r="C31" s="228" t="s">
        <v>356</v>
      </c>
      <c r="D31" s="159">
        <v>2020</v>
      </c>
      <c r="E31" s="164">
        <v>13728198</v>
      </c>
      <c r="F31" s="159"/>
      <c r="G31" s="159" t="s">
        <v>345</v>
      </c>
      <c r="H31" s="153"/>
      <c r="J31" s="155"/>
      <c r="K31" s="154"/>
      <c r="L31" s="154"/>
      <c r="M31" s="154"/>
      <c r="N31" s="154"/>
    </row>
    <row r="32" spans="2:14" x14ac:dyDescent="0.2">
      <c r="B32" s="162"/>
      <c r="C32" s="229"/>
      <c r="D32" s="158">
        <v>2021</v>
      </c>
      <c r="E32" s="163">
        <v>84393505</v>
      </c>
      <c r="F32" s="158"/>
      <c r="G32" s="158" t="s">
        <v>344</v>
      </c>
      <c r="H32" s="153"/>
      <c r="J32" s="155"/>
      <c r="K32" s="154"/>
      <c r="L32" s="154"/>
      <c r="M32" s="154"/>
      <c r="N32" s="154"/>
    </row>
    <row r="33" spans="2:14" x14ac:dyDescent="0.2">
      <c r="B33" s="162"/>
      <c r="C33" s="229"/>
      <c r="D33" s="158">
        <v>2022</v>
      </c>
      <c r="E33" s="163">
        <v>79974012</v>
      </c>
      <c r="F33" s="158"/>
      <c r="G33" s="158" t="s">
        <v>343</v>
      </c>
      <c r="H33" s="153"/>
      <c r="J33" s="155"/>
      <c r="K33" s="154"/>
      <c r="L33" s="154"/>
      <c r="M33" s="154"/>
      <c r="N33" s="154"/>
    </row>
    <row r="34" spans="2:14" x14ac:dyDescent="0.2">
      <c r="B34" s="162"/>
      <c r="C34" s="229"/>
      <c r="D34" s="158">
        <v>2023</v>
      </c>
      <c r="E34" s="163">
        <v>8416483</v>
      </c>
      <c r="F34" s="158"/>
      <c r="G34" s="158" t="s">
        <v>342</v>
      </c>
      <c r="H34" s="153"/>
      <c r="J34" s="155"/>
      <c r="K34" s="154"/>
      <c r="L34" s="154"/>
      <c r="M34" s="154"/>
      <c r="N34" s="154"/>
    </row>
    <row r="35" spans="2:14" x14ac:dyDescent="0.2">
      <c r="B35" s="162"/>
      <c r="C35" s="230"/>
      <c r="D35" s="160">
        <v>2024</v>
      </c>
      <c r="E35" s="161">
        <v>934727</v>
      </c>
      <c r="F35" s="160"/>
      <c r="G35" s="160" t="s">
        <v>341</v>
      </c>
      <c r="H35" s="153"/>
      <c r="J35" s="155"/>
      <c r="K35" s="154"/>
      <c r="L35" s="154"/>
      <c r="M35" s="154"/>
      <c r="N35" s="154"/>
    </row>
    <row r="36" spans="2:14" x14ac:dyDescent="0.2">
      <c r="B36" s="162"/>
      <c r="C36" s="228" t="s">
        <v>63</v>
      </c>
      <c r="D36" s="159">
        <v>2020</v>
      </c>
      <c r="E36" s="164">
        <v>108912</v>
      </c>
      <c r="F36" s="159"/>
      <c r="G36" s="159" t="s">
        <v>340</v>
      </c>
      <c r="H36" s="153"/>
      <c r="J36" s="155"/>
      <c r="K36" s="154"/>
      <c r="L36" s="154"/>
      <c r="M36" s="154"/>
      <c r="N36" s="154"/>
    </row>
    <row r="37" spans="2:14" x14ac:dyDescent="0.2">
      <c r="B37" s="162"/>
      <c r="C37" s="229"/>
      <c r="D37" s="158">
        <v>2021</v>
      </c>
      <c r="E37" s="163">
        <v>20390838</v>
      </c>
      <c r="F37" s="158"/>
      <c r="G37" s="158" t="s">
        <v>339</v>
      </c>
      <c r="H37" s="153"/>
      <c r="J37" s="155"/>
      <c r="K37" s="154"/>
      <c r="L37" s="154"/>
      <c r="M37" s="154"/>
      <c r="N37" s="154"/>
    </row>
    <row r="38" spans="2:14" x14ac:dyDescent="0.2">
      <c r="B38" s="162"/>
      <c r="C38" s="229"/>
      <c r="D38" s="158">
        <v>2022</v>
      </c>
      <c r="E38" s="163">
        <v>36740424</v>
      </c>
      <c r="F38" s="158"/>
      <c r="G38" s="158" t="s">
        <v>338</v>
      </c>
      <c r="H38" s="153"/>
      <c r="J38" s="155"/>
      <c r="K38" s="154"/>
      <c r="L38" s="154"/>
      <c r="M38" s="154"/>
      <c r="N38" s="154"/>
    </row>
    <row r="39" spans="2:14" x14ac:dyDescent="0.2">
      <c r="B39" s="162"/>
      <c r="C39" s="229"/>
      <c r="D39" s="158">
        <v>2023</v>
      </c>
      <c r="E39" s="163">
        <v>6236183</v>
      </c>
      <c r="F39" s="158"/>
      <c r="G39" s="158" t="s">
        <v>337</v>
      </c>
      <c r="H39" s="153"/>
      <c r="J39" s="155"/>
      <c r="K39" s="154"/>
      <c r="L39" s="154"/>
      <c r="M39" s="154"/>
      <c r="N39" s="154"/>
    </row>
    <row r="40" spans="2:14" x14ac:dyDescent="0.2">
      <c r="B40" s="162"/>
      <c r="C40" s="230"/>
      <c r="D40" s="160">
        <v>2024</v>
      </c>
      <c r="E40" s="161">
        <v>56691</v>
      </c>
      <c r="F40" s="160"/>
      <c r="G40" s="160" t="s">
        <v>336</v>
      </c>
      <c r="H40" s="153"/>
      <c r="J40" s="155"/>
      <c r="K40" s="154"/>
      <c r="L40" s="154"/>
      <c r="M40" s="154"/>
      <c r="N40" s="154"/>
    </row>
    <row r="41" spans="2:14" x14ac:dyDescent="0.2">
      <c r="B41" s="162"/>
      <c r="C41" s="228" t="s">
        <v>64</v>
      </c>
      <c r="D41" s="159">
        <v>2020</v>
      </c>
      <c r="E41" s="164">
        <v>134325</v>
      </c>
      <c r="F41" s="159"/>
      <c r="G41" s="159" t="s">
        <v>335</v>
      </c>
      <c r="H41" s="153"/>
      <c r="J41" s="155"/>
      <c r="K41" s="154"/>
      <c r="L41" s="154"/>
      <c r="M41" s="154"/>
      <c r="N41" s="154"/>
    </row>
    <row r="42" spans="2:14" x14ac:dyDescent="0.2">
      <c r="B42" s="162"/>
      <c r="C42" s="229"/>
      <c r="D42" s="158">
        <v>2021</v>
      </c>
      <c r="E42" s="163">
        <v>2034956</v>
      </c>
      <c r="F42" s="158"/>
      <c r="G42" s="158" t="s">
        <v>334</v>
      </c>
      <c r="H42" s="153"/>
      <c r="J42" s="155"/>
      <c r="K42" s="154"/>
      <c r="L42" s="154"/>
      <c r="M42" s="154"/>
      <c r="N42" s="154"/>
    </row>
    <row r="43" spans="2:14" x14ac:dyDescent="0.2">
      <c r="B43" s="162"/>
      <c r="C43" s="229"/>
      <c r="D43" s="158">
        <v>2022</v>
      </c>
      <c r="E43" s="163">
        <v>26631154</v>
      </c>
      <c r="F43" s="158"/>
      <c r="G43" s="158" t="s">
        <v>333</v>
      </c>
      <c r="H43" s="153"/>
      <c r="J43" s="155"/>
      <c r="K43" s="154"/>
      <c r="L43" s="154"/>
      <c r="M43" s="154"/>
      <c r="N43" s="154"/>
    </row>
    <row r="44" spans="2:14" x14ac:dyDescent="0.2">
      <c r="B44" s="162"/>
      <c r="C44" s="229"/>
      <c r="D44" s="158">
        <v>2023</v>
      </c>
      <c r="E44" s="163">
        <v>9390301</v>
      </c>
      <c r="F44" s="158"/>
      <c r="G44" s="158" t="s">
        <v>332</v>
      </c>
      <c r="H44" s="153"/>
      <c r="J44" s="155"/>
      <c r="K44" s="154"/>
      <c r="L44" s="154"/>
      <c r="M44" s="154"/>
      <c r="N44" s="154"/>
    </row>
    <row r="45" spans="2:14" x14ac:dyDescent="0.2">
      <c r="B45" s="162"/>
      <c r="C45" s="230"/>
      <c r="D45" s="160">
        <v>2024</v>
      </c>
      <c r="E45" s="161">
        <v>646792</v>
      </c>
      <c r="F45" s="160"/>
      <c r="G45" s="160" t="s">
        <v>331</v>
      </c>
      <c r="H45" s="153"/>
      <c r="J45" s="155"/>
      <c r="K45" s="154"/>
      <c r="L45" s="154"/>
      <c r="M45" s="154"/>
      <c r="N45" s="154"/>
    </row>
    <row r="46" spans="2:14" x14ac:dyDescent="0.2">
      <c r="B46" s="162"/>
      <c r="C46" s="228" t="s">
        <v>71</v>
      </c>
      <c r="D46" s="159">
        <v>2020</v>
      </c>
      <c r="E46" s="164">
        <v>2278524</v>
      </c>
      <c r="F46" s="159"/>
      <c r="G46" s="159" t="s">
        <v>330</v>
      </c>
      <c r="H46" s="153"/>
      <c r="J46" s="155"/>
      <c r="K46" s="154"/>
      <c r="L46" s="154"/>
      <c r="M46" s="154"/>
      <c r="N46" s="154"/>
    </row>
    <row r="47" spans="2:14" x14ac:dyDescent="0.2">
      <c r="B47" s="162"/>
      <c r="C47" s="229"/>
      <c r="D47" s="158">
        <v>2021</v>
      </c>
      <c r="E47" s="163">
        <v>11304092</v>
      </c>
      <c r="F47" s="158"/>
      <c r="G47" s="158" t="s">
        <v>329</v>
      </c>
      <c r="H47" s="153"/>
      <c r="J47" s="155"/>
      <c r="K47" s="154"/>
      <c r="L47" s="154"/>
      <c r="M47" s="154"/>
      <c r="N47" s="154"/>
    </row>
    <row r="48" spans="2:14" x14ac:dyDescent="0.2">
      <c r="B48" s="162"/>
      <c r="C48" s="229"/>
      <c r="D48" s="158">
        <v>2022</v>
      </c>
      <c r="E48" s="163">
        <v>17001863</v>
      </c>
      <c r="F48" s="158"/>
      <c r="G48" s="158" t="s">
        <v>328</v>
      </c>
      <c r="H48" s="153"/>
      <c r="J48" s="155"/>
      <c r="K48" s="154"/>
      <c r="L48" s="154"/>
      <c r="M48" s="154"/>
      <c r="N48" s="154"/>
    </row>
    <row r="49" spans="2:14" x14ac:dyDescent="0.2">
      <c r="B49" s="162"/>
      <c r="C49" s="229"/>
      <c r="D49" s="158">
        <v>2023</v>
      </c>
      <c r="E49" s="163">
        <v>1581532</v>
      </c>
      <c r="F49" s="158"/>
      <c r="G49" s="158" t="s">
        <v>327</v>
      </c>
      <c r="H49" s="153"/>
      <c r="J49" s="155"/>
      <c r="K49" s="154"/>
      <c r="L49" s="154"/>
      <c r="M49" s="154"/>
      <c r="N49" s="154"/>
    </row>
    <row r="50" spans="2:14" x14ac:dyDescent="0.2">
      <c r="B50" s="162"/>
      <c r="C50" s="230"/>
      <c r="D50" s="160">
        <v>2024</v>
      </c>
      <c r="E50" s="161">
        <v>77590</v>
      </c>
      <c r="F50" s="160"/>
      <c r="G50" s="160" t="s">
        <v>326</v>
      </c>
      <c r="H50" s="153"/>
      <c r="J50" s="155"/>
      <c r="K50" s="154"/>
      <c r="L50" s="154"/>
      <c r="M50" s="154"/>
      <c r="N50" s="154"/>
    </row>
    <row r="51" spans="2:14" x14ac:dyDescent="0.2">
      <c r="B51" s="162"/>
      <c r="C51" s="228" t="s">
        <v>67</v>
      </c>
      <c r="D51" s="159">
        <v>2020</v>
      </c>
      <c r="E51" s="164">
        <v>584489</v>
      </c>
      <c r="F51" s="159"/>
      <c r="G51" s="159" t="s">
        <v>325</v>
      </c>
      <c r="H51" s="153"/>
      <c r="J51" s="155"/>
      <c r="K51" s="154"/>
      <c r="L51" s="154"/>
      <c r="M51" s="154"/>
      <c r="N51" s="154"/>
    </row>
    <row r="52" spans="2:14" x14ac:dyDescent="0.2">
      <c r="B52" s="162"/>
      <c r="C52" s="229"/>
      <c r="D52" s="158">
        <v>2021</v>
      </c>
      <c r="E52" s="163">
        <v>6797225</v>
      </c>
      <c r="F52" s="158"/>
      <c r="G52" s="158" t="s">
        <v>324</v>
      </c>
      <c r="H52" s="153"/>
      <c r="J52" s="155"/>
      <c r="K52" s="154"/>
      <c r="L52" s="154"/>
      <c r="M52" s="154"/>
      <c r="N52" s="154"/>
    </row>
    <row r="53" spans="2:14" x14ac:dyDescent="0.2">
      <c r="B53" s="162"/>
      <c r="C53" s="229"/>
      <c r="D53" s="158">
        <v>2022</v>
      </c>
      <c r="E53" s="163">
        <v>12176039</v>
      </c>
      <c r="F53" s="158"/>
      <c r="G53" s="158" t="s">
        <v>323</v>
      </c>
      <c r="H53" s="153"/>
      <c r="J53" s="155"/>
      <c r="K53" s="154"/>
      <c r="L53" s="154"/>
      <c r="M53" s="154"/>
      <c r="N53" s="154"/>
    </row>
    <row r="54" spans="2:14" x14ac:dyDescent="0.2">
      <c r="B54" s="162"/>
      <c r="C54" s="229"/>
      <c r="D54" s="158">
        <v>2023</v>
      </c>
      <c r="E54" s="163">
        <v>8189558</v>
      </c>
      <c r="F54" s="158"/>
      <c r="G54" s="158" t="s">
        <v>322</v>
      </c>
      <c r="H54" s="153"/>
      <c r="J54" s="155"/>
      <c r="K54" s="154"/>
      <c r="L54" s="154"/>
      <c r="M54" s="154"/>
      <c r="N54" s="154"/>
    </row>
    <row r="55" spans="2:14" x14ac:dyDescent="0.2">
      <c r="B55" s="162"/>
      <c r="C55" s="230"/>
      <c r="D55" s="160">
        <v>2024</v>
      </c>
      <c r="E55" s="161">
        <v>1374129</v>
      </c>
      <c r="F55" s="160"/>
      <c r="G55" s="160" t="s">
        <v>321</v>
      </c>
      <c r="H55" s="153"/>
      <c r="J55" s="155"/>
      <c r="K55" s="154"/>
      <c r="L55" s="154"/>
      <c r="M55" s="154"/>
      <c r="N55" s="154"/>
    </row>
    <row r="56" spans="2:14" x14ac:dyDescent="0.2">
      <c r="B56" s="162"/>
      <c r="C56" s="228" t="s">
        <v>69</v>
      </c>
      <c r="D56" s="159">
        <v>2020</v>
      </c>
      <c r="E56" s="164">
        <v>79452</v>
      </c>
      <c r="F56" s="159"/>
      <c r="G56" s="159" t="s">
        <v>320</v>
      </c>
      <c r="H56" s="153"/>
      <c r="J56" s="155"/>
      <c r="K56" s="154"/>
      <c r="L56" s="154"/>
      <c r="M56" s="154"/>
      <c r="N56" s="154"/>
    </row>
    <row r="57" spans="2:14" x14ac:dyDescent="0.2">
      <c r="B57" s="162"/>
      <c r="C57" s="229"/>
      <c r="D57" s="158">
        <v>2021</v>
      </c>
      <c r="E57" s="163">
        <v>12230918</v>
      </c>
      <c r="F57" s="158"/>
      <c r="G57" s="158" t="s">
        <v>319</v>
      </c>
      <c r="H57" s="153"/>
      <c r="J57" s="155"/>
      <c r="K57" s="154"/>
      <c r="L57" s="154"/>
      <c r="M57" s="154"/>
      <c r="N57" s="154"/>
    </row>
    <row r="58" spans="2:14" x14ac:dyDescent="0.2">
      <c r="B58" s="162"/>
      <c r="C58" s="229"/>
      <c r="D58" s="158">
        <v>2022</v>
      </c>
      <c r="E58" s="163">
        <v>22865501</v>
      </c>
      <c r="F58" s="158"/>
      <c r="G58" s="158" t="s">
        <v>318</v>
      </c>
      <c r="H58" s="153"/>
      <c r="J58" s="155"/>
      <c r="K58" s="154"/>
      <c r="L58" s="154"/>
      <c r="M58" s="154"/>
      <c r="N58" s="154"/>
    </row>
    <row r="59" spans="2:14" x14ac:dyDescent="0.2">
      <c r="B59" s="162"/>
      <c r="C59" s="229"/>
      <c r="D59" s="158">
        <v>2023</v>
      </c>
      <c r="E59" s="163">
        <v>5633065</v>
      </c>
      <c r="F59" s="158"/>
      <c r="G59" s="158" t="s">
        <v>317</v>
      </c>
      <c r="H59" s="153"/>
      <c r="J59" s="155"/>
      <c r="K59" s="154"/>
      <c r="L59" s="154"/>
      <c r="M59" s="154"/>
      <c r="N59" s="154"/>
    </row>
    <row r="60" spans="2:14" x14ac:dyDescent="0.2">
      <c r="B60" s="162"/>
      <c r="C60" s="230"/>
      <c r="D60" s="160">
        <v>2024</v>
      </c>
      <c r="E60" s="161">
        <v>313992</v>
      </c>
      <c r="F60" s="160"/>
      <c r="G60" s="160" t="s">
        <v>316</v>
      </c>
      <c r="H60" s="153"/>
      <c r="J60" s="155"/>
      <c r="K60" s="154"/>
      <c r="L60" s="154"/>
      <c r="M60" s="154"/>
      <c r="N60" s="154"/>
    </row>
    <row r="61" spans="2:14" x14ac:dyDescent="0.2">
      <c r="B61" s="162"/>
      <c r="C61" s="228" t="s">
        <v>72</v>
      </c>
      <c r="D61" s="159">
        <v>2020</v>
      </c>
      <c r="E61" s="164">
        <v>17246</v>
      </c>
      <c r="F61" s="159"/>
      <c r="G61" s="159" t="s">
        <v>315</v>
      </c>
      <c r="H61" s="153"/>
      <c r="J61" s="155"/>
      <c r="K61" s="154"/>
      <c r="L61" s="154"/>
      <c r="M61" s="154"/>
      <c r="N61" s="154"/>
    </row>
    <row r="62" spans="2:14" x14ac:dyDescent="0.2">
      <c r="B62" s="162"/>
      <c r="C62" s="229"/>
      <c r="D62" s="158">
        <v>2021</v>
      </c>
      <c r="E62" s="163">
        <v>3920346</v>
      </c>
      <c r="F62" s="158"/>
      <c r="G62" s="158" t="s">
        <v>314</v>
      </c>
      <c r="H62" s="153"/>
      <c r="J62" s="155"/>
      <c r="K62" s="154"/>
      <c r="L62" s="154"/>
      <c r="M62" s="154"/>
      <c r="N62" s="154"/>
    </row>
    <row r="63" spans="2:14" x14ac:dyDescent="0.2">
      <c r="B63" s="162"/>
      <c r="C63" s="229"/>
      <c r="D63" s="158">
        <v>2022</v>
      </c>
      <c r="E63" s="163">
        <v>3592183</v>
      </c>
      <c r="F63" s="158"/>
      <c r="G63" s="158" t="s">
        <v>313</v>
      </c>
      <c r="H63" s="153"/>
      <c r="J63" s="155"/>
      <c r="K63" s="154"/>
      <c r="L63" s="154"/>
      <c r="M63" s="154"/>
      <c r="N63" s="154"/>
    </row>
    <row r="64" spans="2:14" x14ac:dyDescent="0.2">
      <c r="B64" s="162"/>
      <c r="C64" s="229"/>
      <c r="D64" s="158">
        <v>2023</v>
      </c>
      <c r="E64" s="163">
        <v>1136251</v>
      </c>
      <c r="F64" s="158"/>
      <c r="G64" s="158" t="s">
        <v>312</v>
      </c>
      <c r="H64" s="153"/>
      <c r="J64" s="155"/>
      <c r="K64" s="154"/>
      <c r="L64" s="154"/>
      <c r="M64" s="154"/>
      <c r="N64" s="154"/>
    </row>
    <row r="65" spans="2:14" x14ac:dyDescent="0.2">
      <c r="B65" s="162"/>
      <c r="C65" s="230"/>
      <c r="D65" s="160">
        <v>2024</v>
      </c>
      <c r="E65" s="161">
        <v>51081</v>
      </c>
      <c r="F65" s="160"/>
      <c r="G65" s="160" t="s">
        <v>311</v>
      </c>
      <c r="H65" s="153"/>
      <c r="J65" s="155"/>
      <c r="K65" s="154"/>
      <c r="L65" s="154"/>
      <c r="M65" s="154"/>
      <c r="N65" s="154"/>
    </row>
    <row r="66" spans="2:14" x14ac:dyDescent="0.2">
      <c r="B66" s="162"/>
      <c r="C66" s="228" t="s">
        <v>73</v>
      </c>
      <c r="D66" s="159">
        <v>2020</v>
      </c>
      <c r="E66" s="164">
        <v>89756</v>
      </c>
      <c r="F66" s="159"/>
      <c r="G66" s="159" t="s">
        <v>310</v>
      </c>
      <c r="H66" s="153"/>
      <c r="J66" s="155"/>
      <c r="K66" s="154"/>
      <c r="L66" s="154"/>
      <c r="M66" s="154"/>
      <c r="N66" s="154"/>
    </row>
    <row r="67" spans="2:14" x14ac:dyDescent="0.2">
      <c r="B67" s="162"/>
      <c r="C67" s="229"/>
      <c r="D67" s="158">
        <v>2021</v>
      </c>
      <c r="E67" s="163">
        <v>2937437</v>
      </c>
      <c r="F67" s="158"/>
      <c r="G67" s="158" t="s">
        <v>309</v>
      </c>
      <c r="H67" s="153"/>
      <c r="J67" s="155"/>
      <c r="K67" s="154"/>
      <c r="L67" s="154"/>
      <c r="M67" s="154"/>
      <c r="N67" s="154"/>
    </row>
    <row r="68" spans="2:14" x14ac:dyDescent="0.2">
      <c r="B68" s="162"/>
      <c r="C68" s="229"/>
      <c r="D68" s="158">
        <v>2022</v>
      </c>
      <c r="E68" s="163">
        <v>3185817</v>
      </c>
      <c r="F68" s="158"/>
      <c r="G68" s="158" t="s">
        <v>308</v>
      </c>
      <c r="H68" s="153"/>
      <c r="J68" s="155"/>
      <c r="K68" s="154"/>
      <c r="L68" s="154"/>
      <c r="M68" s="154"/>
      <c r="N68" s="154"/>
    </row>
    <row r="69" spans="2:14" x14ac:dyDescent="0.2">
      <c r="B69" s="162"/>
      <c r="C69" s="229"/>
      <c r="D69" s="158">
        <v>2023</v>
      </c>
      <c r="E69" s="163">
        <v>1836994</v>
      </c>
      <c r="F69" s="158"/>
      <c r="G69" s="158" t="s">
        <v>307</v>
      </c>
      <c r="H69" s="153"/>
      <c r="J69" s="155"/>
      <c r="K69" s="154"/>
      <c r="L69" s="154"/>
      <c r="M69" s="154"/>
      <c r="N69" s="154"/>
    </row>
    <row r="70" spans="2:14" x14ac:dyDescent="0.2">
      <c r="B70" s="162"/>
      <c r="C70" s="230"/>
      <c r="D70" s="160">
        <v>2024</v>
      </c>
      <c r="E70" s="161">
        <v>497323</v>
      </c>
      <c r="F70" s="160"/>
      <c r="G70" s="160" t="s">
        <v>306</v>
      </c>
      <c r="H70" s="153"/>
      <c r="J70" s="155"/>
      <c r="K70" s="154"/>
      <c r="L70" s="154"/>
      <c r="M70" s="154"/>
      <c r="N70" s="154"/>
    </row>
    <row r="71" spans="2:14" x14ac:dyDescent="0.2">
      <c r="B71" s="162"/>
      <c r="C71" s="228" t="s">
        <v>74</v>
      </c>
      <c r="D71" s="159">
        <v>2020</v>
      </c>
      <c r="E71" s="164">
        <v>57230</v>
      </c>
      <c r="F71" s="159"/>
      <c r="G71" s="159" t="s">
        <v>305</v>
      </c>
      <c r="H71" s="153"/>
      <c r="J71" s="155"/>
      <c r="K71" s="154"/>
      <c r="L71" s="154"/>
      <c r="M71" s="154"/>
      <c r="N71" s="154"/>
    </row>
    <row r="72" spans="2:14" x14ac:dyDescent="0.2">
      <c r="B72" s="162"/>
      <c r="C72" s="229"/>
      <c r="D72" s="158">
        <v>2021</v>
      </c>
      <c r="E72" s="163">
        <v>2217203</v>
      </c>
      <c r="F72" s="158"/>
      <c r="G72" s="158" t="s">
        <v>304</v>
      </c>
      <c r="H72" s="153"/>
      <c r="J72" s="155"/>
      <c r="K72" s="154"/>
      <c r="L72" s="154"/>
      <c r="M72" s="154"/>
      <c r="N72" s="154"/>
    </row>
    <row r="73" spans="2:14" x14ac:dyDescent="0.2">
      <c r="B73" s="162"/>
      <c r="C73" s="229"/>
      <c r="D73" s="158">
        <v>2022</v>
      </c>
      <c r="E73" s="163">
        <v>2364004</v>
      </c>
      <c r="F73" s="158"/>
      <c r="G73" s="158" t="s">
        <v>303</v>
      </c>
      <c r="H73" s="153"/>
      <c r="J73" s="155"/>
      <c r="K73" s="154"/>
      <c r="L73" s="154"/>
      <c r="M73" s="154"/>
      <c r="N73" s="154"/>
    </row>
    <row r="74" spans="2:14" x14ac:dyDescent="0.2">
      <c r="B74" s="162"/>
      <c r="C74" s="229"/>
      <c r="D74" s="158">
        <v>2023</v>
      </c>
      <c r="E74" s="163">
        <v>282318</v>
      </c>
      <c r="F74" s="158"/>
      <c r="G74" s="158" t="s">
        <v>302</v>
      </c>
      <c r="H74" s="153"/>
      <c r="J74" s="155"/>
      <c r="K74" s="154"/>
      <c r="L74" s="154"/>
      <c r="M74" s="154"/>
      <c r="N74" s="154"/>
    </row>
    <row r="75" spans="2:14" x14ac:dyDescent="0.2">
      <c r="B75" s="162"/>
      <c r="C75" s="230"/>
      <c r="D75" s="160">
        <v>2024</v>
      </c>
      <c r="E75" s="161">
        <v>71855</v>
      </c>
      <c r="F75" s="160"/>
      <c r="G75" s="160" t="s">
        <v>301</v>
      </c>
      <c r="H75" s="153"/>
      <c r="J75" s="155"/>
      <c r="K75" s="154"/>
      <c r="L75" s="154"/>
      <c r="M75" s="154"/>
      <c r="N75" s="154"/>
    </row>
    <row r="76" spans="2:14" x14ac:dyDescent="0.2">
      <c r="B76" s="153"/>
      <c r="C76" s="228" t="s">
        <v>79</v>
      </c>
      <c r="D76" s="159">
        <v>2020</v>
      </c>
      <c r="E76" s="182">
        <v>112834</v>
      </c>
      <c r="F76" s="159"/>
      <c r="G76" s="159" t="s">
        <v>300</v>
      </c>
      <c r="H76" s="153"/>
      <c r="J76" s="155"/>
      <c r="K76" s="154"/>
      <c r="L76" s="154"/>
      <c r="M76" s="154"/>
      <c r="N76" s="154"/>
    </row>
    <row r="77" spans="2:14" x14ac:dyDescent="0.2">
      <c r="B77" s="153"/>
      <c r="C77" s="229"/>
      <c r="D77" s="158">
        <v>2021</v>
      </c>
      <c r="E77" s="183">
        <v>329681</v>
      </c>
      <c r="F77" s="158"/>
      <c r="G77" s="158" t="s">
        <v>299</v>
      </c>
      <c r="H77" s="153"/>
      <c r="J77" s="155"/>
      <c r="K77" s="154"/>
      <c r="L77" s="154"/>
      <c r="M77" s="154"/>
      <c r="N77" s="154"/>
    </row>
    <row r="78" spans="2:14" x14ac:dyDescent="0.2">
      <c r="B78" s="153"/>
      <c r="C78" s="229"/>
      <c r="D78" s="158">
        <v>2022</v>
      </c>
      <c r="E78" s="183">
        <v>4957284</v>
      </c>
      <c r="F78" s="158"/>
      <c r="G78" s="158" t="s">
        <v>298</v>
      </c>
      <c r="H78" s="153"/>
      <c r="J78" s="155"/>
      <c r="K78" s="154"/>
      <c r="L78" s="154"/>
      <c r="M78" s="154"/>
      <c r="N78" s="154"/>
    </row>
    <row r="79" spans="2:14" x14ac:dyDescent="0.2">
      <c r="B79" s="153"/>
      <c r="C79" s="229"/>
      <c r="D79" s="158">
        <v>2023</v>
      </c>
      <c r="E79" s="183">
        <v>1962178</v>
      </c>
      <c r="F79" s="158"/>
      <c r="G79" s="158" t="s">
        <v>297</v>
      </c>
      <c r="H79" s="153"/>
      <c r="J79" s="155"/>
      <c r="K79" s="154"/>
      <c r="L79" s="154"/>
      <c r="M79" s="154"/>
      <c r="N79" s="154"/>
    </row>
    <row r="80" spans="2:14" x14ac:dyDescent="0.2">
      <c r="B80" s="153"/>
      <c r="C80" s="230"/>
      <c r="D80" s="160">
        <v>2024</v>
      </c>
      <c r="E80" s="184">
        <v>189619</v>
      </c>
      <c r="F80" s="160"/>
      <c r="G80" s="160" t="s">
        <v>296</v>
      </c>
      <c r="H80" s="153"/>
      <c r="J80" s="155"/>
      <c r="K80" s="154"/>
      <c r="L80" s="154"/>
      <c r="M80" s="154"/>
      <c r="N80" s="154"/>
    </row>
    <row r="81" spans="2:14" ht="15" customHeight="1" x14ac:dyDescent="0.2">
      <c r="B81" s="162"/>
      <c r="C81" s="225" t="s">
        <v>295</v>
      </c>
      <c r="D81" s="177">
        <v>2020</v>
      </c>
      <c r="E81" s="176">
        <v>5878</v>
      </c>
      <c r="F81" s="176"/>
      <c r="G81" s="175" t="s">
        <v>357</v>
      </c>
      <c r="H81" s="153"/>
    </row>
    <row r="82" spans="2:14" x14ac:dyDescent="0.2">
      <c r="B82" s="162"/>
      <c r="C82" s="226"/>
      <c r="D82" s="174">
        <v>2021</v>
      </c>
      <c r="E82" s="173">
        <v>215082</v>
      </c>
      <c r="F82" s="173"/>
      <c r="G82" s="172" t="s">
        <v>358</v>
      </c>
      <c r="H82" s="153"/>
    </row>
    <row r="83" spans="2:14" x14ac:dyDescent="0.2">
      <c r="B83" s="162"/>
      <c r="C83" s="226"/>
      <c r="D83" s="174">
        <v>2022</v>
      </c>
      <c r="E83" s="173">
        <v>2827981</v>
      </c>
      <c r="F83" s="173"/>
      <c r="G83" s="172" t="s">
        <v>359</v>
      </c>
      <c r="H83" s="153"/>
    </row>
    <row r="84" spans="2:14" x14ac:dyDescent="0.2">
      <c r="B84" s="162"/>
      <c r="C84" s="226"/>
      <c r="D84" s="174">
        <v>2023</v>
      </c>
      <c r="E84" s="173">
        <v>4438592</v>
      </c>
      <c r="F84" s="173"/>
      <c r="G84" s="172" t="s">
        <v>360</v>
      </c>
      <c r="H84" s="153"/>
    </row>
    <row r="85" spans="2:14" x14ac:dyDescent="0.2">
      <c r="B85" s="162"/>
      <c r="C85" s="227"/>
      <c r="D85" s="180">
        <v>2024</v>
      </c>
      <c r="E85" s="179">
        <v>225726</v>
      </c>
      <c r="F85" s="179"/>
      <c r="G85" s="178" t="s">
        <v>361</v>
      </c>
      <c r="H85" s="153"/>
    </row>
    <row r="86" spans="2:14" x14ac:dyDescent="0.2">
      <c r="B86" s="153"/>
      <c r="C86" s="229" t="s">
        <v>82</v>
      </c>
      <c r="D86" s="158">
        <v>2020</v>
      </c>
      <c r="E86" s="183">
        <v>110087</v>
      </c>
      <c r="F86" s="158"/>
      <c r="G86" s="158" t="s">
        <v>294</v>
      </c>
      <c r="H86" s="153"/>
      <c r="J86" s="155"/>
      <c r="K86" s="154"/>
      <c r="L86" s="154"/>
      <c r="M86" s="154"/>
      <c r="N86" s="154"/>
    </row>
    <row r="87" spans="2:14" x14ac:dyDescent="0.2">
      <c r="B87" s="153"/>
      <c r="C87" s="229"/>
      <c r="D87" s="158">
        <v>2021</v>
      </c>
      <c r="E87" s="183">
        <v>1828869</v>
      </c>
      <c r="F87" s="158"/>
      <c r="G87" s="158" t="s">
        <v>293</v>
      </c>
      <c r="H87" s="153"/>
      <c r="J87" s="155"/>
      <c r="K87" s="154"/>
      <c r="L87" s="154"/>
      <c r="M87" s="154"/>
      <c r="N87" s="154"/>
    </row>
    <row r="88" spans="2:14" x14ac:dyDescent="0.2">
      <c r="B88" s="153"/>
      <c r="C88" s="229"/>
      <c r="D88" s="158">
        <v>2022</v>
      </c>
      <c r="E88" s="183">
        <v>1993683</v>
      </c>
      <c r="F88" s="158"/>
      <c r="G88" s="158" t="s">
        <v>292</v>
      </c>
      <c r="H88" s="153"/>
      <c r="J88" s="155"/>
      <c r="K88" s="154"/>
      <c r="L88" s="154"/>
      <c r="M88" s="154"/>
      <c r="N88" s="154"/>
    </row>
    <row r="89" spans="2:14" x14ac:dyDescent="0.2">
      <c r="B89" s="153"/>
      <c r="C89" s="229"/>
      <c r="D89" s="158">
        <v>2023</v>
      </c>
      <c r="E89" s="183">
        <v>319850</v>
      </c>
      <c r="F89" s="158"/>
      <c r="G89" s="158" t="s">
        <v>291</v>
      </c>
      <c r="H89" s="153"/>
      <c r="J89" s="155"/>
      <c r="K89" s="154"/>
      <c r="L89" s="154"/>
      <c r="M89" s="154"/>
      <c r="N89" s="154"/>
    </row>
    <row r="90" spans="2:14" x14ac:dyDescent="0.2">
      <c r="B90" s="153"/>
      <c r="C90" s="230"/>
      <c r="D90" s="160">
        <v>2024</v>
      </c>
      <c r="E90" s="184">
        <v>17225</v>
      </c>
      <c r="F90" s="160"/>
      <c r="G90" s="160" t="s">
        <v>290</v>
      </c>
      <c r="H90" s="153"/>
      <c r="J90" s="155"/>
      <c r="K90" s="154"/>
      <c r="L90" s="154"/>
      <c r="M90" s="154"/>
      <c r="N90" s="154"/>
    </row>
    <row r="91" spans="2:14" x14ac:dyDescent="0.2">
      <c r="B91" s="153"/>
      <c r="C91" s="228" t="s">
        <v>86</v>
      </c>
      <c r="D91" s="159">
        <v>2020</v>
      </c>
      <c r="E91" s="182">
        <v>46856</v>
      </c>
      <c r="F91" s="159"/>
      <c r="G91" s="159" t="s">
        <v>289</v>
      </c>
      <c r="H91" s="153"/>
      <c r="J91" s="155"/>
      <c r="K91" s="154"/>
      <c r="L91" s="154"/>
      <c r="M91" s="154"/>
      <c r="N91" s="154"/>
    </row>
    <row r="92" spans="2:14" x14ac:dyDescent="0.2">
      <c r="B92" s="153"/>
      <c r="C92" s="229"/>
      <c r="D92" s="158">
        <v>2021</v>
      </c>
      <c r="E92" s="183">
        <v>2405500</v>
      </c>
      <c r="F92" s="158"/>
      <c r="G92" s="158" t="s">
        <v>288</v>
      </c>
      <c r="H92" s="153"/>
      <c r="J92" s="155"/>
      <c r="K92" s="154"/>
      <c r="L92" s="154"/>
      <c r="M92" s="154"/>
      <c r="N92" s="154"/>
    </row>
    <row r="93" spans="2:14" x14ac:dyDescent="0.2">
      <c r="B93" s="153"/>
      <c r="C93" s="229"/>
      <c r="D93" s="158">
        <v>2022</v>
      </c>
      <c r="E93" s="183">
        <v>2564765</v>
      </c>
      <c r="F93" s="158"/>
      <c r="G93" s="158" t="s">
        <v>287</v>
      </c>
      <c r="H93" s="153"/>
      <c r="J93" s="155"/>
      <c r="K93" s="154"/>
      <c r="L93" s="154"/>
      <c r="M93" s="154"/>
      <c r="N93" s="154"/>
    </row>
    <row r="94" spans="2:14" x14ac:dyDescent="0.2">
      <c r="B94" s="153"/>
      <c r="C94" s="229"/>
      <c r="D94" s="158">
        <v>2023</v>
      </c>
      <c r="E94" s="183">
        <v>821001</v>
      </c>
      <c r="F94" s="158"/>
      <c r="G94" s="158" t="s">
        <v>286</v>
      </c>
      <c r="H94" s="153"/>
      <c r="J94" s="155"/>
      <c r="K94" s="154"/>
      <c r="L94" s="154"/>
      <c r="M94" s="154"/>
      <c r="N94" s="154"/>
    </row>
    <row r="95" spans="2:14" x14ac:dyDescent="0.2">
      <c r="B95" s="153"/>
      <c r="C95" s="230"/>
      <c r="D95" s="160">
        <v>2024</v>
      </c>
      <c r="E95" s="184">
        <v>37776</v>
      </c>
      <c r="F95" s="160"/>
      <c r="G95" s="160" t="s">
        <v>285</v>
      </c>
      <c r="H95" s="153"/>
      <c r="J95" s="155"/>
      <c r="K95" s="154"/>
      <c r="L95" s="154"/>
      <c r="M95" s="154"/>
      <c r="N95" s="154"/>
    </row>
    <row r="96" spans="2:14" x14ac:dyDescent="0.2">
      <c r="B96" s="153"/>
      <c r="C96" s="228" t="s">
        <v>87</v>
      </c>
      <c r="D96" s="159">
        <v>2020</v>
      </c>
      <c r="E96" s="182">
        <v>13291</v>
      </c>
      <c r="F96" s="159"/>
      <c r="G96" s="159" t="s">
        <v>284</v>
      </c>
      <c r="H96" s="153"/>
      <c r="J96" s="155"/>
      <c r="K96" s="154"/>
      <c r="L96" s="154"/>
      <c r="M96" s="154"/>
      <c r="N96" s="154"/>
    </row>
    <row r="97" spans="2:14" x14ac:dyDescent="0.2">
      <c r="B97" s="153"/>
      <c r="C97" s="229"/>
      <c r="D97" s="158">
        <v>2021</v>
      </c>
      <c r="E97" s="183">
        <v>223390</v>
      </c>
      <c r="F97" s="158"/>
      <c r="G97" s="158" t="s">
        <v>283</v>
      </c>
      <c r="H97" s="153"/>
      <c r="J97" s="155"/>
      <c r="K97" s="154"/>
      <c r="L97" s="154"/>
      <c r="M97" s="154"/>
      <c r="N97" s="154"/>
    </row>
    <row r="98" spans="2:14" x14ac:dyDescent="0.2">
      <c r="B98" s="153"/>
      <c r="C98" s="229"/>
      <c r="D98" s="158">
        <v>2022</v>
      </c>
      <c r="E98" s="183">
        <v>5359174</v>
      </c>
      <c r="F98" s="158"/>
      <c r="G98" s="158" t="s">
        <v>282</v>
      </c>
      <c r="H98" s="153"/>
      <c r="J98" s="155"/>
      <c r="K98" s="154"/>
      <c r="L98" s="154"/>
      <c r="M98" s="154"/>
      <c r="N98" s="154"/>
    </row>
    <row r="99" spans="2:14" x14ac:dyDescent="0.2">
      <c r="B99" s="153"/>
      <c r="C99" s="229"/>
      <c r="D99" s="158">
        <v>2023</v>
      </c>
      <c r="E99" s="183">
        <v>2794173</v>
      </c>
      <c r="F99" s="158"/>
      <c r="G99" s="158" t="s">
        <v>281</v>
      </c>
      <c r="H99" s="153"/>
      <c r="J99" s="155"/>
      <c r="K99" s="154"/>
      <c r="L99" s="154"/>
      <c r="M99" s="154"/>
      <c r="N99" s="154"/>
    </row>
    <row r="100" spans="2:14" ht="16" thickBot="1" x14ac:dyDescent="0.25">
      <c r="B100" s="153"/>
      <c r="C100" s="232"/>
      <c r="D100" s="157">
        <v>2024</v>
      </c>
      <c r="E100" s="185">
        <v>2410</v>
      </c>
      <c r="F100" s="157"/>
      <c r="G100" s="157" t="s">
        <v>280</v>
      </c>
      <c r="H100" s="153"/>
      <c r="J100" s="155"/>
      <c r="K100" s="154"/>
      <c r="L100" s="154"/>
      <c r="M100" s="154"/>
      <c r="N100" s="154"/>
    </row>
    <row r="101" spans="2:14" x14ac:dyDescent="0.2">
      <c r="B101" s="153"/>
      <c r="C101" s="153"/>
      <c r="D101" s="153"/>
      <c r="E101" s="153"/>
      <c r="F101" s="153"/>
      <c r="G101" s="153"/>
      <c r="H101" s="153"/>
    </row>
    <row r="102" spans="2:14" x14ac:dyDescent="0.2">
      <c r="B102" s="153"/>
      <c r="C102" s="153"/>
      <c r="D102" s="153"/>
      <c r="E102" s="153"/>
      <c r="F102" s="153"/>
      <c r="G102" s="153"/>
      <c r="H102" s="153"/>
    </row>
    <row r="103" spans="2:14" x14ac:dyDescent="0.2">
      <c r="B103" s="153"/>
      <c r="C103" s="153"/>
      <c r="D103" s="153"/>
      <c r="E103" s="153"/>
      <c r="F103" s="153"/>
      <c r="G103" s="153"/>
      <c r="H103" s="153"/>
    </row>
    <row r="104" spans="2:14" x14ac:dyDescent="0.2">
      <c r="B104" s="153"/>
      <c r="C104" s="153"/>
      <c r="D104" s="153"/>
      <c r="E104" s="153"/>
      <c r="F104" s="153"/>
      <c r="G104" s="153"/>
      <c r="H104" s="153"/>
    </row>
  </sheetData>
  <mergeCells count="18">
    <mergeCell ref="C76:C80"/>
    <mergeCell ref="C86:C90"/>
    <mergeCell ref="C91:C95"/>
    <mergeCell ref="C96:C100"/>
    <mergeCell ref="C51:C55"/>
    <mergeCell ref="C56:C60"/>
    <mergeCell ref="C61:C65"/>
    <mergeCell ref="C66:C70"/>
    <mergeCell ref="C71:C75"/>
    <mergeCell ref="C81:C85"/>
    <mergeCell ref="C5:C9"/>
    <mergeCell ref="C10:C14"/>
    <mergeCell ref="C36:C40"/>
    <mergeCell ref="C41:C45"/>
    <mergeCell ref="C46:C50"/>
    <mergeCell ref="C15:C19"/>
    <mergeCell ref="C26:C30"/>
    <mergeCell ref="C31:C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7826-D9CD-0945-AD20-5635459A6B25}">
  <dimension ref="A1:W407"/>
  <sheetViews>
    <sheetView topLeftCell="A32" zoomScale="125" workbookViewId="0">
      <selection activeCell="B34" sqref="B34:B43"/>
    </sheetView>
  </sheetViews>
  <sheetFormatPr baseColWidth="10" defaultRowHeight="16" x14ac:dyDescent="0.2"/>
  <cols>
    <col min="2" max="2" width="13.83203125" bestFit="1" customWidth="1"/>
    <col min="3" max="3" width="17.33203125" style="33" bestFit="1" customWidth="1"/>
    <col min="4" max="5" width="10.5" style="37" bestFit="1" customWidth="1"/>
    <col min="6" max="6" width="11.83203125" style="47" bestFit="1" customWidth="1"/>
    <col min="7" max="7" width="13" style="47" bestFit="1" customWidth="1"/>
    <col min="8" max="8" width="11.5" style="42" bestFit="1" customWidth="1"/>
    <col min="9" max="9" width="12.83203125" style="42" bestFit="1" customWidth="1"/>
    <col min="10" max="10" width="12.5" style="42" bestFit="1" customWidth="1"/>
    <col min="11" max="11" width="9" style="42" bestFit="1" customWidth="1"/>
  </cols>
  <sheetData>
    <row r="1" spans="1:23" ht="17" thickBot="1" x14ac:dyDescent="0.25">
      <c r="A1" s="6"/>
      <c r="B1" s="16"/>
      <c r="C1" s="32"/>
      <c r="D1" s="34"/>
      <c r="E1" s="34"/>
      <c r="F1" s="43"/>
      <c r="G1" s="43"/>
      <c r="H1" s="39"/>
      <c r="I1" s="39"/>
      <c r="J1" s="39"/>
      <c r="K1" s="91"/>
      <c r="L1" s="4"/>
      <c r="M1" s="4"/>
    </row>
    <row r="2" spans="1:23" x14ac:dyDescent="0.2">
      <c r="A2" s="6"/>
      <c r="B2" s="28" t="s">
        <v>39</v>
      </c>
      <c r="C2" s="29" t="s">
        <v>40</v>
      </c>
      <c r="D2" s="35" t="s">
        <v>46</v>
      </c>
      <c r="E2" s="35" t="s">
        <v>56</v>
      </c>
      <c r="F2" s="44" t="s">
        <v>54</v>
      </c>
      <c r="G2" s="44" t="s">
        <v>53</v>
      </c>
      <c r="H2" s="28" t="s">
        <v>153</v>
      </c>
      <c r="I2" s="30" t="s">
        <v>51</v>
      </c>
      <c r="J2" s="30" t="s">
        <v>52</v>
      </c>
      <c r="K2" s="30" t="s">
        <v>50</v>
      </c>
      <c r="L2" s="4"/>
      <c r="M2" s="4"/>
    </row>
    <row r="3" spans="1:23" x14ac:dyDescent="0.2">
      <c r="A3" s="15"/>
      <c r="B3" s="233" t="s">
        <v>8</v>
      </c>
      <c r="C3" s="94" t="s">
        <v>16</v>
      </c>
      <c r="D3" s="95">
        <v>43899</v>
      </c>
      <c r="E3" s="95">
        <v>45124</v>
      </c>
      <c r="F3" s="96">
        <v>0.2066421</v>
      </c>
      <c r="G3" s="96">
        <v>0.49318919999999999</v>
      </c>
      <c r="H3" s="109">
        <f>G3-F3</f>
        <v>0.2865471</v>
      </c>
      <c r="I3" s="63" t="s">
        <v>45</v>
      </c>
      <c r="J3" s="63" t="s">
        <v>43</v>
      </c>
      <c r="K3" s="97" t="s">
        <v>163</v>
      </c>
      <c r="L3" s="4"/>
      <c r="M3" s="4"/>
      <c r="N3" s="1"/>
      <c r="O3" s="2"/>
      <c r="P3" s="2"/>
      <c r="Q3" s="14"/>
      <c r="R3" s="14"/>
      <c r="S3" s="2"/>
      <c r="T3" s="2"/>
      <c r="U3" s="2"/>
      <c r="V3" s="2"/>
    </row>
    <row r="4" spans="1:23" x14ac:dyDescent="0.2">
      <c r="A4" s="15"/>
      <c r="B4" s="219"/>
      <c r="C4" s="19" t="s">
        <v>36</v>
      </c>
      <c r="D4" s="100">
        <v>43902</v>
      </c>
      <c r="E4" s="100">
        <v>45355</v>
      </c>
      <c r="F4" s="71">
        <v>0.35416059999999999</v>
      </c>
      <c r="G4" s="71">
        <v>0.63647860000000001</v>
      </c>
      <c r="H4" s="110">
        <f t="shared" ref="H4:H28" si="0">G4-F4</f>
        <v>0.28231800000000001</v>
      </c>
      <c r="I4" s="70" t="s">
        <v>43</v>
      </c>
      <c r="J4" s="70" t="s">
        <v>43</v>
      </c>
      <c r="K4" s="80" t="s">
        <v>150</v>
      </c>
      <c r="L4" s="4"/>
      <c r="M4" s="4"/>
      <c r="N4" s="1"/>
      <c r="O4" s="2"/>
      <c r="P4" s="2"/>
      <c r="Q4" s="14"/>
      <c r="R4" s="14"/>
      <c r="S4" s="2"/>
      <c r="T4" s="2"/>
      <c r="U4" s="2"/>
      <c r="V4" s="2"/>
    </row>
    <row r="5" spans="1:23" x14ac:dyDescent="0.2">
      <c r="A5" s="15"/>
      <c r="B5" s="219"/>
      <c r="C5" s="19" t="s">
        <v>38</v>
      </c>
      <c r="D5" s="100">
        <v>43925</v>
      </c>
      <c r="E5" s="100">
        <v>45489</v>
      </c>
      <c r="F5" s="71">
        <v>0.53407369999999998</v>
      </c>
      <c r="G5" s="71">
        <v>0.81120669999999995</v>
      </c>
      <c r="H5" s="110">
        <f t="shared" si="0"/>
        <v>0.27713299999999996</v>
      </c>
      <c r="I5" s="70" t="s">
        <v>43</v>
      </c>
      <c r="J5" s="70" t="s">
        <v>43</v>
      </c>
      <c r="K5" s="80" t="s">
        <v>150</v>
      </c>
      <c r="L5" s="4"/>
      <c r="M5" s="4"/>
      <c r="N5" s="1"/>
      <c r="O5" s="2"/>
      <c r="P5" s="2"/>
      <c r="Q5" s="14"/>
      <c r="R5" s="14"/>
      <c r="S5" s="2"/>
      <c r="T5" s="2"/>
      <c r="U5" s="2"/>
      <c r="V5" s="2"/>
    </row>
    <row r="6" spans="1:23" x14ac:dyDescent="0.2">
      <c r="A6" s="15"/>
      <c r="B6" s="219"/>
      <c r="C6" s="19" t="s">
        <v>18</v>
      </c>
      <c r="D6" s="100">
        <v>43993</v>
      </c>
      <c r="E6" s="100">
        <v>45487</v>
      </c>
      <c r="F6" s="71">
        <v>0.52949800000000002</v>
      </c>
      <c r="G6" s="71">
        <v>0.67489310000000002</v>
      </c>
      <c r="H6" s="110">
        <f t="shared" si="0"/>
        <v>0.1453951</v>
      </c>
      <c r="I6" s="70" t="s">
        <v>43</v>
      </c>
      <c r="J6" s="70" t="s">
        <v>43</v>
      </c>
      <c r="K6" s="80" t="s">
        <v>150</v>
      </c>
      <c r="L6" s="4"/>
      <c r="M6" s="4"/>
      <c r="N6" s="1"/>
      <c r="O6" s="2"/>
      <c r="P6" s="2"/>
      <c r="Q6" s="14"/>
      <c r="R6" s="14"/>
      <c r="S6" s="2"/>
      <c r="T6" s="2"/>
      <c r="U6" s="2"/>
      <c r="V6" s="2"/>
    </row>
    <row r="7" spans="1:23" x14ac:dyDescent="0.2">
      <c r="A7" s="15"/>
      <c r="B7" s="219"/>
      <c r="C7" s="19" t="s">
        <v>20</v>
      </c>
      <c r="D7" s="100">
        <v>44042</v>
      </c>
      <c r="E7" s="100">
        <v>45526</v>
      </c>
      <c r="F7" s="71">
        <v>0.35263640000000002</v>
      </c>
      <c r="G7" s="71">
        <v>0.51197409999999999</v>
      </c>
      <c r="H7" s="110">
        <f t="shared" si="0"/>
        <v>0.15933769999999997</v>
      </c>
      <c r="I7" s="70" t="s">
        <v>43</v>
      </c>
      <c r="J7" s="70" t="s">
        <v>43</v>
      </c>
      <c r="K7" s="80" t="s">
        <v>150</v>
      </c>
      <c r="L7" s="4"/>
      <c r="M7" s="4"/>
      <c r="N7" s="1"/>
      <c r="O7" s="2"/>
      <c r="P7" s="2"/>
      <c r="Q7" s="14"/>
      <c r="R7" s="14"/>
      <c r="S7" s="2"/>
      <c r="T7" s="2"/>
      <c r="U7" s="2"/>
      <c r="V7" s="2"/>
    </row>
    <row r="8" spans="1:23" x14ac:dyDescent="0.2">
      <c r="A8" s="15"/>
      <c r="B8" s="219"/>
      <c r="C8" s="19" t="s">
        <v>27</v>
      </c>
      <c r="D8" s="100">
        <v>44061</v>
      </c>
      <c r="E8" s="100">
        <v>45532</v>
      </c>
      <c r="F8" s="71">
        <v>0.48801480000000003</v>
      </c>
      <c r="G8" s="71">
        <v>0.59102310000000002</v>
      </c>
      <c r="H8" s="110">
        <f t="shared" si="0"/>
        <v>0.1030083</v>
      </c>
      <c r="I8" s="70" t="s">
        <v>43</v>
      </c>
      <c r="J8" s="70" t="s">
        <v>43</v>
      </c>
      <c r="K8" s="80" t="s">
        <v>150</v>
      </c>
      <c r="L8" s="4"/>
      <c r="M8" s="4"/>
      <c r="N8" s="1"/>
      <c r="O8" s="2"/>
      <c r="P8" s="2"/>
      <c r="Q8" s="14"/>
      <c r="R8" s="14"/>
      <c r="S8" s="2"/>
      <c r="T8" s="2"/>
      <c r="U8" s="2"/>
      <c r="V8" s="2"/>
    </row>
    <row r="9" spans="1:23" x14ac:dyDescent="0.2">
      <c r="A9" s="15"/>
      <c r="B9" s="219"/>
      <c r="C9" s="19" t="s">
        <v>28</v>
      </c>
      <c r="D9" s="100">
        <v>44530</v>
      </c>
      <c r="E9" s="100">
        <v>45378</v>
      </c>
      <c r="F9" s="71">
        <v>0.32783309999999999</v>
      </c>
      <c r="G9" s="71">
        <v>0.3948604</v>
      </c>
      <c r="H9" s="110">
        <f t="shared" si="0"/>
        <v>6.7027300000000012E-2</v>
      </c>
      <c r="I9" s="70" t="s">
        <v>43</v>
      </c>
      <c r="J9" s="70" t="s">
        <v>43</v>
      </c>
      <c r="K9" s="80" t="s">
        <v>150</v>
      </c>
      <c r="L9" s="4"/>
      <c r="M9" s="4"/>
      <c r="N9" s="1"/>
      <c r="O9" s="2"/>
      <c r="P9" s="2"/>
      <c r="Q9" s="14"/>
      <c r="R9" s="14"/>
      <c r="S9" s="2"/>
      <c r="T9" s="2"/>
      <c r="U9" s="2"/>
      <c r="V9" s="2"/>
    </row>
    <row r="10" spans="1:23" x14ac:dyDescent="0.2">
      <c r="A10" s="15"/>
      <c r="B10" s="219"/>
      <c r="C10" s="19" t="s">
        <v>32</v>
      </c>
      <c r="D10" s="100">
        <v>44935</v>
      </c>
      <c r="E10" s="100">
        <v>45535</v>
      </c>
      <c r="F10" s="71">
        <v>0.32392280000000001</v>
      </c>
      <c r="G10" s="71">
        <v>0.52795429999999999</v>
      </c>
      <c r="H10" s="110">
        <f t="shared" si="0"/>
        <v>0.20403149999999998</v>
      </c>
      <c r="I10" s="70" t="s">
        <v>43</v>
      </c>
      <c r="J10" s="70" t="s">
        <v>43</v>
      </c>
      <c r="K10" s="80" t="s">
        <v>150</v>
      </c>
      <c r="L10" s="4"/>
      <c r="M10" s="4"/>
      <c r="N10" s="1"/>
      <c r="O10" s="2"/>
      <c r="P10" s="2"/>
      <c r="Q10" s="14"/>
      <c r="R10" s="14"/>
      <c r="S10" s="2"/>
      <c r="T10" s="2"/>
      <c r="U10" s="2"/>
      <c r="V10" s="2"/>
    </row>
    <row r="11" spans="1:23" x14ac:dyDescent="0.2">
      <c r="A11" s="15"/>
      <c r="B11" s="219"/>
      <c r="C11" s="19" t="s">
        <v>33</v>
      </c>
      <c r="D11" s="100">
        <v>45182</v>
      </c>
      <c r="E11" s="100">
        <v>45533</v>
      </c>
      <c r="F11" s="71">
        <v>0.2422502</v>
      </c>
      <c r="G11" s="71">
        <v>0.31084640000000002</v>
      </c>
      <c r="H11" s="110">
        <f t="shared" si="0"/>
        <v>6.8596200000000024E-2</v>
      </c>
      <c r="I11" s="70" t="s">
        <v>43</v>
      </c>
      <c r="J11" s="70" t="s">
        <v>43</v>
      </c>
      <c r="K11" s="80" t="s">
        <v>150</v>
      </c>
      <c r="L11" s="4"/>
      <c r="M11" s="4"/>
      <c r="N11" s="1"/>
      <c r="O11" s="2"/>
      <c r="P11" s="2"/>
      <c r="Q11" s="14"/>
      <c r="R11" s="14"/>
      <c r="S11" s="2"/>
      <c r="T11" s="2"/>
      <c r="U11" s="2"/>
      <c r="V11" s="2"/>
    </row>
    <row r="12" spans="1:23" x14ac:dyDescent="0.2">
      <c r="A12" s="15"/>
      <c r="B12" s="221"/>
      <c r="C12" s="115" t="s">
        <v>60</v>
      </c>
      <c r="D12" s="116">
        <v>44622</v>
      </c>
      <c r="E12" s="116">
        <v>45536</v>
      </c>
      <c r="F12" s="117" t="s">
        <v>57</v>
      </c>
      <c r="G12" s="117" t="s">
        <v>57</v>
      </c>
      <c r="H12" s="149" t="s">
        <v>57</v>
      </c>
      <c r="I12" s="119" t="s">
        <v>57</v>
      </c>
      <c r="J12" s="119" t="s">
        <v>57</v>
      </c>
      <c r="K12" s="120"/>
      <c r="L12" s="4"/>
      <c r="M12" s="4"/>
      <c r="N12" s="1"/>
      <c r="O12" s="2"/>
      <c r="P12" s="2"/>
      <c r="Q12" s="14"/>
      <c r="R12" s="14"/>
      <c r="S12" s="2"/>
      <c r="T12" s="2"/>
      <c r="U12" s="2"/>
      <c r="V12" s="2"/>
    </row>
    <row r="13" spans="1:23" x14ac:dyDescent="0.2">
      <c r="A13" s="6"/>
      <c r="B13" s="222" t="s">
        <v>47</v>
      </c>
      <c r="C13" s="121" t="s">
        <v>15</v>
      </c>
      <c r="D13" s="122">
        <v>43892</v>
      </c>
      <c r="E13" s="122">
        <v>44735</v>
      </c>
      <c r="F13" s="123">
        <v>0.29076360000000001</v>
      </c>
      <c r="G13" s="123">
        <v>0.61139730000000003</v>
      </c>
      <c r="H13" s="148">
        <f t="shared" si="0"/>
        <v>0.32063370000000002</v>
      </c>
      <c r="I13" s="124" t="s">
        <v>45</v>
      </c>
      <c r="J13" s="124" t="s">
        <v>43</v>
      </c>
      <c r="K13" s="125" t="s">
        <v>163</v>
      </c>
      <c r="L13" s="4"/>
      <c r="M13" s="4"/>
      <c r="N13" s="1"/>
      <c r="O13" s="2"/>
      <c r="P13" s="2"/>
      <c r="Q13" s="14"/>
      <c r="R13" s="14"/>
      <c r="S13" s="2"/>
      <c r="T13" s="2"/>
      <c r="U13" s="2"/>
      <c r="V13" s="2"/>
    </row>
    <row r="14" spans="1:23" x14ac:dyDescent="0.2">
      <c r="A14" s="6"/>
      <c r="B14" s="223"/>
      <c r="C14" s="19" t="s">
        <v>36</v>
      </c>
      <c r="D14" s="20">
        <v>43893</v>
      </c>
      <c r="E14" s="20">
        <v>44623</v>
      </c>
      <c r="F14" s="75">
        <v>0.71886309999999998</v>
      </c>
      <c r="G14" s="75">
        <v>0.98269030000000002</v>
      </c>
      <c r="H14" s="110">
        <f t="shared" si="0"/>
        <v>0.26382720000000004</v>
      </c>
      <c r="I14" s="49" t="s">
        <v>43</v>
      </c>
      <c r="J14" s="49" t="s">
        <v>43</v>
      </c>
      <c r="K14" s="88" t="s">
        <v>150</v>
      </c>
      <c r="L14" s="4"/>
      <c r="M14" s="4"/>
      <c r="N14" s="1"/>
      <c r="O14" s="2"/>
      <c r="P14" s="2"/>
      <c r="Q14" s="14"/>
      <c r="R14" s="14"/>
      <c r="S14" s="2"/>
      <c r="T14" s="2"/>
      <c r="U14" s="2"/>
      <c r="V14" s="2"/>
    </row>
    <row r="15" spans="1:23" x14ac:dyDescent="0.2">
      <c r="A15" s="6"/>
      <c r="B15" s="223"/>
      <c r="C15" s="19" t="s">
        <v>13</v>
      </c>
      <c r="D15" s="20">
        <v>44046</v>
      </c>
      <c r="E15" s="20">
        <v>44788</v>
      </c>
      <c r="F15" s="75">
        <v>0.60803050000000003</v>
      </c>
      <c r="G15" s="75">
        <v>0.75370470000000001</v>
      </c>
      <c r="H15" s="110">
        <f t="shared" si="0"/>
        <v>0.14567419999999998</v>
      </c>
      <c r="I15" s="49" t="s">
        <v>43</v>
      </c>
      <c r="J15" s="49" t="s">
        <v>43</v>
      </c>
      <c r="K15" s="88" t="s">
        <v>150</v>
      </c>
      <c r="L15" s="4"/>
      <c r="M15" s="4"/>
      <c r="N15" s="1"/>
      <c r="O15" s="2"/>
      <c r="P15" s="2"/>
      <c r="Q15" s="14"/>
      <c r="R15" s="14"/>
      <c r="S15" s="2"/>
      <c r="T15" s="2"/>
      <c r="U15" s="2"/>
      <c r="V15" s="2"/>
      <c r="W15" s="14"/>
    </row>
    <row r="16" spans="1:23" x14ac:dyDescent="0.2">
      <c r="A16" s="6"/>
      <c r="B16" s="223"/>
      <c r="C16" s="19" t="s">
        <v>20</v>
      </c>
      <c r="D16" s="20">
        <v>44197</v>
      </c>
      <c r="E16" s="20">
        <v>45302</v>
      </c>
      <c r="F16" s="75">
        <v>0.54498179999999996</v>
      </c>
      <c r="G16" s="75">
        <v>0.73214100000000004</v>
      </c>
      <c r="H16" s="110">
        <f t="shared" si="0"/>
        <v>0.18715920000000008</v>
      </c>
      <c r="I16" s="49" t="s">
        <v>43</v>
      </c>
      <c r="J16" s="49" t="s">
        <v>43</v>
      </c>
      <c r="K16" s="88" t="s">
        <v>150</v>
      </c>
      <c r="L16" s="4"/>
      <c r="M16" s="4"/>
      <c r="N16" s="1"/>
      <c r="O16" s="2"/>
      <c r="P16" s="2"/>
      <c r="Q16" s="14"/>
      <c r="R16" s="14"/>
      <c r="S16" s="2"/>
      <c r="T16" s="2"/>
      <c r="U16" s="2"/>
      <c r="V16" s="2"/>
      <c r="W16" s="14"/>
    </row>
    <row r="17" spans="1:23" x14ac:dyDescent="0.2">
      <c r="A17" s="6"/>
      <c r="B17" s="223"/>
      <c r="C17" s="19" t="s">
        <v>28</v>
      </c>
      <c r="D17" s="20">
        <v>44603</v>
      </c>
      <c r="E17" s="20">
        <v>45292</v>
      </c>
      <c r="F17" s="75">
        <v>0.3479968</v>
      </c>
      <c r="G17" s="75">
        <v>0.41425590000000001</v>
      </c>
      <c r="H17" s="110">
        <f t="shared" si="0"/>
        <v>6.6259100000000015E-2</v>
      </c>
      <c r="I17" s="49" t="s">
        <v>43</v>
      </c>
      <c r="J17" s="49" t="s">
        <v>43</v>
      </c>
      <c r="K17" s="88" t="s">
        <v>150</v>
      </c>
      <c r="L17" s="4"/>
      <c r="M17" s="4"/>
      <c r="N17" s="1"/>
      <c r="O17" s="2"/>
      <c r="P17" s="2"/>
      <c r="Q17" s="14"/>
      <c r="R17" s="14"/>
      <c r="S17" s="2"/>
      <c r="T17" s="2"/>
      <c r="U17" s="2"/>
      <c r="V17" s="2"/>
      <c r="W17" s="14"/>
    </row>
    <row r="18" spans="1:23" x14ac:dyDescent="0.2">
      <c r="A18" s="6"/>
      <c r="B18" s="223"/>
      <c r="C18" s="19" t="s">
        <v>38</v>
      </c>
      <c r="D18" s="20">
        <v>44864</v>
      </c>
      <c r="E18" s="20">
        <v>45440</v>
      </c>
      <c r="F18" s="75">
        <v>0.30970429999999999</v>
      </c>
      <c r="G18" s="75">
        <v>0.5340473</v>
      </c>
      <c r="H18" s="110">
        <f t="shared" si="0"/>
        <v>0.22434300000000001</v>
      </c>
      <c r="I18" s="49" t="s">
        <v>43</v>
      </c>
      <c r="J18" s="49" t="s">
        <v>43</v>
      </c>
      <c r="K18" s="88" t="s">
        <v>150</v>
      </c>
      <c r="L18" s="4"/>
      <c r="M18" s="4"/>
      <c r="N18" s="1"/>
      <c r="O18" s="2"/>
      <c r="P18" s="2"/>
      <c r="Q18" s="14"/>
      <c r="R18" s="14"/>
      <c r="S18" s="2"/>
      <c r="T18" s="2"/>
      <c r="U18" s="2"/>
      <c r="V18" s="2"/>
      <c r="W18" s="14"/>
    </row>
    <row r="19" spans="1:23" x14ac:dyDescent="0.2">
      <c r="A19" s="6"/>
      <c r="B19" s="223"/>
      <c r="C19" s="19" t="s">
        <v>37</v>
      </c>
      <c r="D19" s="20">
        <v>44927</v>
      </c>
      <c r="E19" s="20">
        <v>45399</v>
      </c>
      <c r="F19" s="75">
        <v>0.2030814</v>
      </c>
      <c r="G19" s="75">
        <v>0.34063749999999998</v>
      </c>
      <c r="H19" s="110">
        <f t="shared" si="0"/>
        <v>0.13755609999999999</v>
      </c>
      <c r="I19" s="49" t="s">
        <v>43</v>
      </c>
      <c r="J19" s="49" t="s">
        <v>43</v>
      </c>
      <c r="K19" s="88" t="s">
        <v>150</v>
      </c>
      <c r="L19" s="4"/>
      <c r="M19" s="4"/>
      <c r="N19" s="1"/>
      <c r="O19" s="2"/>
      <c r="P19" s="2"/>
      <c r="Q19" s="14"/>
      <c r="R19" s="14"/>
      <c r="S19" s="2"/>
      <c r="T19" s="2"/>
      <c r="U19" s="2"/>
      <c r="V19" s="2"/>
      <c r="W19" s="14"/>
    </row>
    <row r="20" spans="1:23" x14ac:dyDescent="0.2">
      <c r="A20" s="6"/>
      <c r="B20" s="223"/>
      <c r="C20" s="19" t="s">
        <v>32</v>
      </c>
      <c r="D20" s="20">
        <v>45187</v>
      </c>
      <c r="E20" s="20">
        <v>45529</v>
      </c>
      <c r="F20" s="75">
        <v>0.4501252</v>
      </c>
      <c r="G20" s="75">
        <v>0.79285660000000002</v>
      </c>
      <c r="H20" s="110">
        <f t="shared" si="0"/>
        <v>0.34273140000000002</v>
      </c>
      <c r="I20" s="49" t="s">
        <v>43</v>
      </c>
      <c r="J20" s="49" t="s">
        <v>43</v>
      </c>
      <c r="K20" s="88" t="s">
        <v>150</v>
      </c>
      <c r="L20" s="4"/>
      <c r="M20" s="4"/>
      <c r="N20" s="1"/>
      <c r="O20" s="2"/>
      <c r="P20" s="2"/>
      <c r="Q20" s="14"/>
      <c r="R20" s="14"/>
      <c r="S20" s="2"/>
      <c r="T20" s="2"/>
      <c r="U20" s="2"/>
      <c r="V20" s="2"/>
      <c r="W20" s="14"/>
    </row>
    <row r="21" spans="1:23" x14ac:dyDescent="0.2">
      <c r="A21" s="6"/>
      <c r="B21" s="224"/>
      <c r="C21" s="115" t="s">
        <v>61</v>
      </c>
      <c r="D21" s="116">
        <v>44624</v>
      </c>
      <c r="E21" s="116">
        <v>45516</v>
      </c>
      <c r="F21" s="117" t="s">
        <v>57</v>
      </c>
      <c r="G21" s="117" t="s">
        <v>57</v>
      </c>
      <c r="H21" s="149" t="s">
        <v>57</v>
      </c>
      <c r="I21" s="119" t="s">
        <v>57</v>
      </c>
      <c r="J21" s="119" t="s">
        <v>57</v>
      </c>
      <c r="K21" s="120" t="s">
        <v>57</v>
      </c>
      <c r="L21" s="4"/>
      <c r="M21" s="4"/>
      <c r="N21" s="1"/>
      <c r="O21" s="2"/>
      <c r="P21" s="2"/>
      <c r="Q21" s="14"/>
      <c r="R21" s="14"/>
      <c r="S21" s="2"/>
      <c r="T21" s="2"/>
      <c r="U21" s="2"/>
      <c r="V21" s="2"/>
      <c r="W21" s="14"/>
    </row>
    <row r="22" spans="1:23" x14ac:dyDescent="0.2">
      <c r="A22" s="6"/>
      <c r="B22" s="218" t="s">
        <v>48</v>
      </c>
      <c r="C22" s="121" t="s">
        <v>151</v>
      </c>
      <c r="D22" s="122">
        <v>44249</v>
      </c>
      <c r="E22" s="122">
        <v>44460</v>
      </c>
      <c r="F22" s="123">
        <v>0.3027378</v>
      </c>
      <c r="G22" s="123">
        <v>0.35219070000000002</v>
      </c>
      <c r="H22" s="148">
        <f t="shared" si="0"/>
        <v>4.9452900000000022E-2</v>
      </c>
      <c r="I22" s="124" t="s">
        <v>43</v>
      </c>
      <c r="J22" s="124" t="s">
        <v>43</v>
      </c>
      <c r="K22" s="125" t="s">
        <v>150</v>
      </c>
      <c r="L22" s="4"/>
      <c r="M22" s="4"/>
      <c r="N22" s="1"/>
      <c r="O22" s="2"/>
      <c r="P22" s="2"/>
      <c r="Q22" s="14"/>
      <c r="R22" s="14"/>
      <c r="S22" s="2"/>
      <c r="T22" s="2"/>
      <c r="U22" s="2"/>
      <c r="V22" s="2"/>
      <c r="W22" s="14"/>
    </row>
    <row r="23" spans="1:23" x14ac:dyDescent="0.2">
      <c r="A23" s="6"/>
      <c r="B23" s="219"/>
      <c r="C23" s="19" t="s">
        <v>49</v>
      </c>
      <c r="D23" s="20">
        <v>44331</v>
      </c>
      <c r="E23" s="20">
        <v>44602</v>
      </c>
      <c r="F23" s="75">
        <v>0.41191489999999997</v>
      </c>
      <c r="G23" s="75">
        <v>0.59014350000000004</v>
      </c>
      <c r="H23" s="110">
        <f t="shared" si="0"/>
        <v>0.17822860000000007</v>
      </c>
      <c r="I23" s="49" t="s">
        <v>43</v>
      </c>
      <c r="J23" s="49" t="s">
        <v>43</v>
      </c>
      <c r="K23" s="88" t="s">
        <v>150</v>
      </c>
      <c r="L23" s="4"/>
      <c r="M23" s="4"/>
      <c r="N23" s="1"/>
      <c r="O23" s="2"/>
      <c r="P23" s="2"/>
      <c r="Q23" s="14"/>
      <c r="R23" s="14"/>
      <c r="S23" s="2"/>
      <c r="T23" s="2"/>
      <c r="U23" s="2"/>
      <c r="V23" s="2"/>
      <c r="W23" s="14"/>
    </row>
    <row r="24" spans="1:23" x14ac:dyDescent="0.2">
      <c r="A24" s="6"/>
      <c r="B24" s="219"/>
      <c r="C24" s="19" t="s">
        <v>152</v>
      </c>
      <c r="D24" s="20">
        <v>44416</v>
      </c>
      <c r="E24" s="20">
        <v>44624</v>
      </c>
      <c r="F24" s="75">
        <v>0.26665699999999998</v>
      </c>
      <c r="G24" s="75">
        <v>0.44411020000000001</v>
      </c>
      <c r="H24" s="110">
        <f t="shared" si="0"/>
        <v>0.17745320000000003</v>
      </c>
      <c r="I24" s="49" t="s">
        <v>43</v>
      </c>
      <c r="J24" s="49" t="s">
        <v>43</v>
      </c>
      <c r="K24" s="88" t="s">
        <v>150</v>
      </c>
      <c r="L24" s="4"/>
      <c r="M24" s="4"/>
      <c r="N24" s="1"/>
      <c r="O24" s="2"/>
      <c r="P24" s="2"/>
      <c r="Q24" s="14"/>
      <c r="R24" s="14"/>
      <c r="S24" s="2"/>
      <c r="T24" s="2"/>
      <c r="U24" s="2"/>
      <c r="V24" s="2"/>
    </row>
    <row r="25" spans="1:23" x14ac:dyDescent="0.2">
      <c r="A25" s="6"/>
      <c r="B25" s="219"/>
      <c r="C25" s="19" t="s">
        <v>22</v>
      </c>
      <c r="D25" s="20">
        <v>44559</v>
      </c>
      <c r="E25" s="20">
        <v>45000</v>
      </c>
      <c r="F25" s="75">
        <v>0.26334679999999999</v>
      </c>
      <c r="G25" s="75">
        <v>0.330262</v>
      </c>
      <c r="H25" s="110">
        <f t="shared" si="0"/>
        <v>6.6915200000000008E-2</v>
      </c>
      <c r="I25" s="49" t="s">
        <v>43</v>
      </c>
      <c r="J25" s="49" t="s">
        <v>43</v>
      </c>
      <c r="K25" s="88" t="s">
        <v>150</v>
      </c>
      <c r="L25" s="4"/>
      <c r="M25" s="4"/>
      <c r="N25" s="1"/>
      <c r="O25" s="2"/>
      <c r="P25" s="2"/>
      <c r="Q25" s="14"/>
      <c r="R25" s="14"/>
      <c r="S25" s="2"/>
      <c r="T25" s="2"/>
      <c r="U25" s="2"/>
      <c r="V25" s="2"/>
    </row>
    <row r="26" spans="1:23" x14ac:dyDescent="0.2">
      <c r="A26" s="6"/>
      <c r="B26" s="219"/>
      <c r="C26" s="19" t="s">
        <v>25</v>
      </c>
      <c r="D26" s="20">
        <v>44692</v>
      </c>
      <c r="E26" s="20">
        <v>45313</v>
      </c>
      <c r="F26" s="75">
        <v>0.21752830000000001</v>
      </c>
      <c r="G26" s="75">
        <v>0.35795769999999999</v>
      </c>
      <c r="H26" s="110">
        <f t="shared" si="0"/>
        <v>0.14042939999999998</v>
      </c>
      <c r="I26" s="49" t="s">
        <v>43</v>
      </c>
      <c r="J26" s="49" t="s">
        <v>43</v>
      </c>
      <c r="K26" s="88" t="s">
        <v>150</v>
      </c>
      <c r="L26" s="4"/>
      <c r="M26" s="4"/>
      <c r="N26" s="1"/>
      <c r="O26" s="2"/>
      <c r="P26" s="2"/>
      <c r="Q26" s="14"/>
      <c r="R26" s="14"/>
      <c r="S26" s="2"/>
      <c r="T26" s="2"/>
      <c r="U26" s="2"/>
      <c r="V26" s="2"/>
    </row>
    <row r="27" spans="1:23" x14ac:dyDescent="0.2">
      <c r="A27" s="6"/>
      <c r="B27" s="219"/>
      <c r="C27" s="19" t="s">
        <v>30</v>
      </c>
      <c r="D27" s="20">
        <v>45111</v>
      </c>
      <c r="E27" s="20">
        <v>45397</v>
      </c>
      <c r="F27" s="75">
        <v>0.31032290000000001</v>
      </c>
      <c r="G27" s="75">
        <v>0.594059</v>
      </c>
      <c r="H27" s="110">
        <f t="shared" si="0"/>
        <v>0.28373609999999999</v>
      </c>
      <c r="I27" s="49" t="s">
        <v>43</v>
      </c>
      <c r="J27" s="49" t="s">
        <v>43</v>
      </c>
      <c r="K27" s="88" t="s">
        <v>150</v>
      </c>
      <c r="L27" s="4"/>
      <c r="M27" s="4"/>
    </row>
    <row r="28" spans="1:23" x14ac:dyDescent="0.2">
      <c r="A28" s="6"/>
      <c r="B28" s="219"/>
      <c r="C28" s="19" t="s">
        <v>32</v>
      </c>
      <c r="D28" s="20">
        <v>45223</v>
      </c>
      <c r="E28" s="20">
        <v>45410</v>
      </c>
      <c r="F28" s="75">
        <v>0.30824649999999998</v>
      </c>
      <c r="G28" s="75">
        <v>0.53417760000000003</v>
      </c>
      <c r="H28" s="110">
        <f t="shared" si="0"/>
        <v>0.22593110000000005</v>
      </c>
      <c r="I28" s="49" t="s">
        <v>43</v>
      </c>
      <c r="J28" s="49" t="s">
        <v>43</v>
      </c>
      <c r="K28" s="88" t="s">
        <v>150</v>
      </c>
      <c r="L28" s="4"/>
      <c r="M28" s="4"/>
    </row>
    <row r="29" spans="1:23" x14ac:dyDescent="0.2">
      <c r="A29" s="6"/>
      <c r="B29" s="221"/>
      <c r="C29" s="115" t="s">
        <v>62</v>
      </c>
      <c r="D29" s="126">
        <v>44236</v>
      </c>
      <c r="E29" s="126">
        <v>45219</v>
      </c>
      <c r="F29" s="117" t="s">
        <v>57</v>
      </c>
      <c r="G29" s="117" t="s">
        <v>57</v>
      </c>
      <c r="H29" s="149" t="s">
        <v>57</v>
      </c>
      <c r="I29" s="127" t="s">
        <v>57</v>
      </c>
      <c r="J29" s="127" t="s">
        <v>57</v>
      </c>
      <c r="K29" s="120" t="s">
        <v>57</v>
      </c>
      <c r="L29" s="4"/>
      <c r="M29" s="4"/>
    </row>
    <row r="30" spans="1:23" x14ac:dyDescent="0.2">
      <c r="A30" s="6"/>
      <c r="B30" s="6"/>
      <c r="C30" s="19"/>
      <c r="D30" s="36"/>
      <c r="E30" s="36"/>
      <c r="F30" s="45"/>
      <c r="G30" s="45"/>
      <c r="H30" s="40"/>
      <c r="I30" s="40"/>
      <c r="J30" s="40"/>
      <c r="K30" s="40"/>
      <c r="L30" s="4"/>
      <c r="M30" s="4"/>
    </row>
    <row r="31" spans="1:23" x14ac:dyDescent="0.2">
      <c r="A31" s="6"/>
      <c r="B31" s="6"/>
      <c r="C31" s="19"/>
      <c r="D31" s="36"/>
      <c r="E31" s="36"/>
      <c r="F31" s="45"/>
      <c r="G31" s="45"/>
      <c r="H31" s="40"/>
      <c r="I31" s="40"/>
      <c r="J31" s="40"/>
      <c r="K31" s="40"/>
      <c r="L31" s="4"/>
      <c r="M31" s="4"/>
    </row>
    <row r="32" spans="1:23" ht="17" thickBot="1" x14ac:dyDescent="0.25">
      <c r="A32" s="6"/>
      <c r="B32" s="6"/>
      <c r="C32" s="19"/>
      <c r="D32" s="36"/>
      <c r="E32" s="36"/>
      <c r="F32" s="45"/>
      <c r="G32" s="45"/>
      <c r="H32" s="40"/>
      <c r="I32" s="40"/>
      <c r="J32" s="40"/>
      <c r="K32" s="40"/>
      <c r="L32" s="4"/>
      <c r="M32" s="4"/>
    </row>
    <row r="33" spans="1:23" x14ac:dyDescent="0.2">
      <c r="A33" s="6"/>
      <c r="B33" s="130" t="s">
        <v>39</v>
      </c>
      <c r="C33" s="131" t="s">
        <v>40</v>
      </c>
      <c r="D33" s="132" t="s">
        <v>46</v>
      </c>
      <c r="E33" s="132" t="s">
        <v>56</v>
      </c>
      <c r="F33" s="133" t="s">
        <v>54</v>
      </c>
      <c r="G33" s="133" t="s">
        <v>53</v>
      </c>
      <c r="H33" s="130" t="s">
        <v>153</v>
      </c>
      <c r="I33" s="134" t="s">
        <v>51</v>
      </c>
      <c r="J33" s="134" t="s">
        <v>52</v>
      </c>
      <c r="K33" s="134" t="s">
        <v>50</v>
      </c>
      <c r="L33" s="4"/>
      <c r="M33" s="4"/>
    </row>
    <row r="34" spans="1:23" x14ac:dyDescent="0.2">
      <c r="A34" s="15"/>
      <c r="B34" s="218" t="s">
        <v>8</v>
      </c>
      <c r="C34" s="94" t="s">
        <v>16</v>
      </c>
      <c r="D34" s="95">
        <v>43899</v>
      </c>
      <c r="E34" s="95">
        <v>45124</v>
      </c>
      <c r="F34" s="96">
        <v>0.2066421</v>
      </c>
      <c r="G34" s="96">
        <v>0.49318919999999999</v>
      </c>
      <c r="H34" s="109">
        <f>G34-F34</f>
        <v>0.2865471</v>
      </c>
      <c r="I34" s="63" t="s">
        <v>45</v>
      </c>
      <c r="J34" s="63" t="s">
        <v>43</v>
      </c>
      <c r="K34" s="97" t="s">
        <v>163</v>
      </c>
      <c r="L34" s="4"/>
      <c r="M34" s="4"/>
      <c r="N34" s="1">
        <v>1</v>
      </c>
      <c r="O34" s="2" t="s">
        <v>8</v>
      </c>
      <c r="P34" s="2" t="s">
        <v>16</v>
      </c>
      <c r="Q34" s="14">
        <v>43899</v>
      </c>
      <c r="R34" s="14">
        <v>45124</v>
      </c>
      <c r="S34" s="2">
        <v>0.17358323000000001</v>
      </c>
      <c r="T34" s="2">
        <v>0.51565749999999999</v>
      </c>
      <c r="U34" s="2" t="s">
        <v>45</v>
      </c>
      <c r="V34" s="2" t="s">
        <v>43</v>
      </c>
    </row>
    <row r="35" spans="1:23" x14ac:dyDescent="0.2">
      <c r="A35" s="15"/>
      <c r="B35" s="219"/>
      <c r="C35" s="19" t="s">
        <v>36</v>
      </c>
      <c r="D35" s="100">
        <v>43902</v>
      </c>
      <c r="E35" s="100">
        <v>45355</v>
      </c>
      <c r="F35" s="71">
        <v>0.35416059999999999</v>
      </c>
      <c r="G35" s="71">
        <v>0.63647860000000001</v>
      </c>
      <c r="H35" s="110">
        <f t="shared" ref="H35:H42" si="1">G35-F35</f>
        <v>0.28231800000000001</v>
      </c>
      <c r="I35" s="70" t="s">
        <v>43</v>
      </c>
      <c r="J35" s="70" t="s">
        <v>43</v>
      </c>
      <c r="K35" s="80" t="s">
        <v>150</v>
      </c>
      <c r="L35" s="4"/>
      <c r="M35" s="4"/>
      <c r="N35" s="1">
        <v>2</v>
      </c>
      <c r="O35" s="2" t="s">
        <v>8</v>
      </c>
      <c r="P35" s="2" t="s">
        <v>36</v>
      </c>
      <c r="Q35" s="14">
        <v>43902</v>
      </c>
      <c r="R35" s="14">
        <v>45355</v>
      </c>
      <c r="S35" s="2">
        <v>0.21386922</v>
      </c>
      <c r="T35" s="2">
        <v>0.64569730000000003</v>
      </c>
      <c r="U35" s="2" t="s">
        <v>45</v>
      </c>
      <c r="V35" s="2" t="s">
        <v>43</v>
      </c>
    </row>
    <row r="36" spans="1:23" x14ac:dyDescent="0.2">
      <c r="A36" s="15"/>
      <c r="B36" s="219"/>
      <c r="C36" s="19" t="s">
        <v>38</v>
      </c>
      <c r="D36" s="100">
        <v>43925</v>
      </c>
      <c r="E36" s="100">
        <v>45489</v>
      </c>
      <c r="F36" s="71">
        <v>0.53407369999999998</v>
      </c>
      <c r="G36" s="71">
        <v>0.81120669999999995</v>
      </c>
      <c r="H36" s="110">
        <f t="shared" si="1"/>
        <v>0.27713299999999996</v>
      </c>
      <c r="I36" s="70" t="s">
        <v>43</v>
      </c>
      <c r="J36" s="70" t="s">
        <v>43</v>
      </c>
      <c r="K36" s="80" t="s">
        <v>150</v>
      </c>
      <c r="L36" s="4"/>
      <c r="M36" s="4"/>
      <c r="N36" s="1">
        <v>3</v>
      </c>
      <c r="O36" s="2" t="s">
        <v>8</v>
      </c>
      <c r="P36" s="2" t="s">
        <v>20</v>
      </c>
      <c r="Q36" s="14">
        <v>43924</v>
      </c>
      <c r="R36" s="14">
        <v>45526</v>
      </c>
      <c r="S36" s="2">
        <v>0.41927241999999998</v>
      </c>
      <c r="T36" s="2">
        <v>0.55112910000000004</v>
      </c>
      <c r="U36" s="2" t="s">
        <v>43</v>
      </c>
      <c r="V36" s="2" t="s">
        <v>43</v>
      </c>
    </row>
    <row r="37" spans="1:23" x14ac:dyDescent="0.2">
      <c r="A37" s="15"/>
      <c r="B37" s="219"/>
      <c r="C37" s="19" t="s">
        <v>18</v>
      </c>
      <c r="D37" s="100">
        <v>43993</v>
      </c>
      <c r="E37" s="100">
        <v>45487</v>
      </c>
      <c r="F37" s="71">
        <v>0.52949800000000002</v>
      </c>
      <c r="G37" s="71">
        <v>0.67489310000000002</v>
      </c>
      <c r="H37" s="110">
        <f t="shared" si="1"/>
        <v>0.1453951</v>
      </c>
      <c r="I37" s="70" t="s">
        <v>43</v>
      </c>
      <c r="J37" s="70" t="s">
        <v>43</v>
      </c>
      <c r="K37" s="80" t="s">
        <v>150</v>
      </c>
      <c r="L37" s="4"/>
      <c r="M37" s="4"/>
      <c r="N37" s="1">
        <v>4</v>
      </c>
      <c r="O37" s="2" t="s">
        <v>8</v>
      </c>
      <c r="P37" s="2" t="s">
        <v>38</v>
      </c>
      <c r="Q37" s="14">
        <v>43925</v>
      </c>
      <c r="R37" s="14">
        <v>45489</v>
      </c>
      <c r="S37" s="2">
        <v>0.40854928000000001</v>
      </c>
      <c r="T37" s="2">
        <v>0.81637230000000005</v>
      </c>
      <c r="U37" s="2" t="s">
        <v>43</v>
      </c>
      <c r="V37" s="2" t="s">
        <v>43</v>
      </c>
    </row>
    <row r="38" spans="1:23" x14ac:dyDescent="0.2">
      <c r="A38" s="15"/>
      <c r="B38" s="219"/>
      <c r="C38" s="19" t="s">
        <v>20</v>
      </c>
      <c r="D38" s="100">
        <v>44042</v>
      </c>
      <c r="E38" s="100">
        <v>45526</v>
      </c>
      <c r="F38" s="71">
        <v>0.35263640000000002</v>
      </c>
      <c r="G38" s="71">
        <v>0.51197409999999999</v>
      </c>
      <c r="H38" s="110">
        <f t="shared" si="1"/>
        <v>0.15933769999999997</v>
      </c>
      <c r="I38" s="70" t="s">
        <v>43</v>
      </c>
      <c r="J38" s="70" t="s">
        <v>43</v>
      </c>
      <c r="K38" s="80" t="s">
        <v>150</v>
      </c>
      <c r="L38" s="4"/>
      <c r="M38" s="4"/>
      <c r="N38" s="1">
        <v>5</v>
      </c>
      <c r="O38" s="2" t="s">
        <v>8</v>
      </c>
      <c r="P38" s="2" t="s">
        <v>365</v>
      </c>
      <c r="Q38" s="14">
        <v>43965</v>
      </c>
      <c r="R38" s="14">
        <v>44958</v>
      </c>
      <c r="S38" s="2">
        <v>0.22762315999999999</v>
      </c>
      <c r="T38" s="2">
        <v>0.25945800000000002</v>
      </c>
      <c r="U38" s="2" t="s">
        <v>43</v>
      </c>
      <c r="V38" s="2" t="s">
        <v>43</v>
      </c>
    </row>
    <row r="39" spans="1:23" x14ac:dyDescent="0.2">
      <c r="A39" s="15"/>
      <c r="B39" s="219"/>
      <c r="C39" s="19" t="s">
        <v>27</v>
      </c>
      <c r="D39" s="100">
        <v>44061</v>
      </c>
      <c r="E39" s="100">
        <v>45532</v>
      </c>
      <c r="F39" s="71">
        <v>0.48801480000000003</v>
      </c>
      <c r="G39" s="71">
        <v>0.59102310000000002</v>
      </c>
      <c r="H39" s="110">
        <f t="shared" si="1"/>
        <v>0.1030083</v>
      </c>
      <c r="I39" s="70" t="s">
        <v>43</v>
      </c>
      <c r="J39" s="70" t="s">
        <v>43</v>
      </c>
      <c r="K39" s="80" t="s">
        <v>150</v>
      </c>
      <c r="L39" s="4"/>
      <c r="M39" s="4"/>
      <c r="N39" s="1">
        <v>6</v>
      </c>
      <c r="O39" s="2" t="s">
        <v>8</v>
      </c>
      <c r="P39" s="2" t="s">
        <v>27</v>
      </c>
      <c r="Q39" s="14">
        <v>44061</v>
      </c>
      <c r="R39" s="14">
        <v>45532</v>
      </c>
      <c r="S39" s="2">
        <v>0.50505522000000003</v>
      </c>
      <c r="T39" s="2">
        <v>0.616031</v>
      </c>
      <c r="U39" s="2" t="s">
        <v>43</v>
      </c>
      <c r="V39" s="2" t="s">
        <v>43</v>
      </c>
    </row>
    <row r="40" spans="1:23" x14ac:dyDescent="0.2">
      <c r="A40" s="15"/>
      <c r="B40" s="219"/>
      <c r="C40" s="19" t="s">
        <v>28</v>
      </c>
      <c r="D40" s="100">
        <v>44530</v>
      </c>
      <c r="E40" s="100">
        <v>45378</v>
      </c>
      <c r="F40" s="71">
        <v>0.32783309999999999</v>
      </c>
      <c r="G40" s="71">
        <v>0.3948604</v>
      </c>
      <c r="H40" s="110">
        <f t="shared" si="1"/>
        <v>6.7027300000000012E-2</v>
      </c>
      <c r="I40" s="70" t="s">
        <v>43</v>
      </c>
      <c r="J40" s="70" t="s">
        <v>43</v>
      </c>
      <c r="K40" s="80" t="s">
        <v>150</v>
      </c>
      <c r="L40" s="4"/>
      <c r="M40" s="4"/>
      <c r="N40" s="1">
        <v>7</v>
      </c>
      <c r="O40" s="2" t="s">
        <v>8</v>
      </c>
      <c r="P40" s="2" t="s">
        <v>26</v>
      </c>
      <c r="Q40" s="14">
        <v>44505</v>
      </c>
      <c r="R40" s="14">
        <v>45393</v>
      </c>
      <c r="S40" s="2">
        <v>0.33199093000000002</v>
      </c>
      <c r="T40" s="2">
        <v>0.22722980000000001</v>
      </c>
      <c r="U40" s="2" t="s">
        <v>43</v>
      </c>
      <c r="V40" s="2" t="s">
        <v>43</v>
      </c>
    </row>
    <row r="41" spans="1:23" x14ac:dyDescent="0.2">
      <c r="A41" s="15"/>
      <c r="B41" s="219"/>
      <c r="C41" s="19" t="s">
        <v>32</v>
      </c>
      <c r="D41" s="100">
        <v>44935</v>
      </c>
      <c r="E41" s="100">
        <v>45535</v>
      </c>
      <c r="F41" s="71">
        <v>0.32392280000000001</v>
      </c>
      <c r="G41" s="71">
        <v>0.52795429999999999</v>
      </c>
      <c r="H41" s="110">
        <f t="shared" si="1"/>
        <v>0.20403149999999998</v>
      </c>
      <c r="I41" s="70" t="s">
        <v>43</v>
      </c>
      <c r="J41" s="70" t="s">
        <v>43</v>
      </c>
      <c r="K41" s="80" t="s">
        <v>150</v>
      </c>
      <c r="L41" s="4"/>
      <c r="M41" s="4"/>
      <c r="N41" s="1">
        <v>8</v>
      </c>
      <c r="O41" s="2" t="s">
        <v>8</v>
      </c>
      <c r="P41" s="2" t="s">
        <v>28</v>
      </c>
      <c r="Q41" s="14">
        <v>44530</v>
      </c>
      <c r="R41" s="14">
        <v>45378</v>
      </c>
      <c r="S41" s="2">
        <v>0.38549044999999998</v>
      </c>
      <c r="T41" s="2">
        <v>0.41923880000000002</v>
      </c>
      <c r="U41" s="2" t="s">
        <v>43</v>
      </c>
      <c r="V41" s="2" t="s">
        <v>43</v>
      </c>
    </row>
    <row r="42" spans="1:23" x14ac:dyDescent="0.2">
      <c r="A42" s="15"/>
      <c r="B42" s="219"/>
      <c r="C42" s="19" t="s">
        <v>33</v>
      </c>
      <c r="D42" s="100">
        <v>45182</v>
      </c>
      <c r="E42" s="100">
        <v>45533</v>
      </c>
      <c r="F42" s="71">
        <v>0.2422502</v>
      </c>
      <c r="G42" s="71">
        <v>0.31084640000000002</v>
      </c>
      <c r="H42" s="110">
        <f t="shared" si="1"/>
        <v>6.8596200000000024E-2</v>
      </c>
      <c r="I42" s="70" t="s">
        <v>43</v>
      </c>
      <c r="J42" s="70" t="s">
        <v>43</v>
      </c>
      <c r="K42" s="80" t="s">
        <v>150</v>
      </c>
      <c r="L42" s="4"/>
      <c r="M42" s="4"/>
      <c r="N42" s="1">
        <v>9</v>
      </c>
      <c r="O42" s="2" t="s">
        <v>8</v>
      </c>
      <c r="P42" s="2" t="s">
        <v>31</v>
      </c>
      <c r="Q42" s="14">
        <v>44935</v>
      </c>
      <c r="R42" s="14">
        <v>45520</v>
      </c>
      <c r="S42" s="2">
        <v>0.18300572000000001</v>
      </c>
      <c r="T42" s="2">
        <v>0.30143399999999998</v>
      </c>
      <c r="U42" s="2" t="s">
        <v>43</v>
      </c>
      <c r="V42" s="2" t="s">
        <v>43</v>
      </c>
    </row>
    <row r="43" spans="1:23" x14ac:dyDescent="0.2">
      <c r="A43" s="15"/>
      <c r="B43" s="221"/>
      <c r="C43" s="115" t="s">
        <v>60</v>
      </c>
      <c r="D43" s="116">
        <v>44622</v>
      </c>
      <c r="E43" s="116">
        <v>45536</v>
      </c>
      <c r="F43" s="117" t="s">
        <v>57</v>
      </c>
      <c r="G43" s="117" t="s">
        <v>57</v>
      </c>
      <c r="H43" s="149" t="s">
        <v>57</v>
      </c>
      <c r="I43" s="119" t="s">
        <v>57</v>
      </c>
      <c r="J43" s="119" t="s">
        <v>57</v>
      </c>
      <c r="K43" s="120"/>
      <c r="L43" s="4"/>
      <c r="M43" s="4"/>
      <c r="N43" s="1">
        <v>10</v>
      </c>
      <c r="O43" s="2" t="s">
        <v>8</v>
      </c>
      <c r="P43" s="2" t="s">
        <v>32</v>
      </c>
      <c r="Q43" s="14">
        <v>44935</v>
      </c>
      <c r="R43" s="14">
        <v>45535</v>
      </c>
      <c r="S43" s="2">
        <v>0.34868251</v>
      </c>
      <c r="T43" s="2">
        <v>0.53541369999999999</v>
      </c>
      <c r="U43" s="2" t="s">
        <v>43</v>
      </c>
      <c r="V43" s="2" t="s">
        <v>43</v>
      </c>
    </row>
    <row r="44" spans="1:23" x14ac:dyDescent="0.2">
      <c r="A44" s="6"/>
      <c r="B44" s="222" t="s">
        <v>47</v>
      </c>
      <c r="C44" s="121" t="s">
        <v>15</v>
      </c>
      <c r="D44" s="122">
        <v>43892</v>
      </c>
      <c r="E44" s="122">
        <v>44735</v>
      </c>
      <c r="F44" s="123">
        <v>0.29076360000000001</v>
      </c>
      <c r="G44" s="123">
        <v>0.61139730000000003</v>
      </c>
      <c r="H44" s="148">
        <f t="shared" ref="H44:H51" si="2">G44-F44</f>
        <v>0.32063370000000002</v>
      </c>
      <c r="I44" s="124" t="s">
        <v>45</v>
      </c>
      <c r="J44" s="124" t="s">
        <v>43</v>
      </c>
      <c r="K44" s="125" t="s">
        <v>163</v>
      </c>
      <c r="L44" s="4"/>
      <c r="M44" s="4"/>
      <c r="N44" s="1">
        <v>11</v>
      </c>
      <c r="O44" s="2" t="s">
        <v>8</v>
      </c>
      <c r="P44" s="2" t="s">
        <v>33</v>
      </c>
      <c r="Q44" s="14">
        <v>45182</v>
      </c>
      <c r="R44" s="14">
        <v>45533</v>
      </c>
      <c r="S44" s="2">
        <v>0.28012223000000003</v>
      </c>
      <c r="T44" s="2">
        <v>0.31439709999999998</v>
      </c>
      <c r="U44" s="2" t="s">
        <v>43</v>
      </c>
      <c r="V44" s="2" t="s">
        <v>43</v>
      </c>
    </row>
    <row r="45" spans="1:23" x14ac:dyDescent="0.2">
      <c r="A45" s="6"/>
      <c r="B45" s="223"/>
      <c r="C45" s="19" t="s">
        <v>36</v>
      </c>
      <c r="D45" s="20">
        <v>43893</v>
      </c>
      <c r="E45" s="20">
        <v>44623</v>
      </c>
      <c r="F45" s="75">
        <v>0.71886309999999998</v>
      </c>
      <c r="G45" s="75">
        <v>0.98269030000000002</v>
      </c>
      <c r="H45" s="110">
        <f t="shared" si="2"/>
        <v>0.26382720000000004</v>
      </c>
      <c r="I45" s="49" t="s">
        <v>43</v>
      </c>
      <c r="J45" s="49" t="s">
        <v>43</v>
      </c>
      <c r="K45" s="88" t="s">
        <v>150</v>
      </c>
      <c r="L45" s="4"/>
      <c r="M45" s="4"/>
      <c r="N45" s="1">
        <v>12</v>
      </c>
      <c r="O45" s="2" t="s">
        <v>47</v>
      </c>
      <c r="P45" s="2" t="s">
        <v>15</v>
      </c>
      <c r="Q45" s="14">
        <v>43892</v>
      </c>
      <c r="R45" s="14">
        <v>44735</v>
      </c>
      <c r="S45" s="2">
        <v>0.16018604</v>
      </c>
      <c r="T45" s="2">
        <v>0.4129543</v>
      </c>
      <c r="U45" s="2" t="s">
        <v>45</v>
      </c>
      <c r="V45" s="2" t="s">
        <v>43</v>
      </c>
    </row>
    <row r="46" spans="1:23" x14ac:dyDescent="0.2">
      <c r="A46" s="6"/>
      <c r="B46" s="223"/>
      <c r="C46" s="19" t="s">
        <v>13</v>
      </c>
      <c r="D46" s="20">
        <v>44046</v>
      </c>
      <c r="E46" s="20">
        <v>44788</v>
      </c>
      <c r="F46" s="75">
        <v>0.60803050000000003</v>
      </c>
      <c r="G46" s="75">
        <v>0.75370470000000001</v>
      </c>
      <c r="H46" s="110">
        <f t="shared" si="2"/>
        <v>0.14567419999999998</v>
      </c>
      <c r="I46" s="49" t="s">
        <v>43</v>
      </c>
      <c r="J46" s="49" t="s">
        <v>43</v>
      </c>
      <c r="K46" s="88" t="s">
        <v>150</v>
      </c>
      <c r="L46" s="4"/>
      <c r="M46" s="4"/>
      <c r="N46" s="1">
        <v>13</v>
      </c>
      <c r="O46" s="2" t="s">
        <v>47</v>
      </c>
      <c r="P46" s="2" t="s">
        <v>36</v>
      </c>
      <c r="Q46" s="14">
        <v>43893</v>
      </c>
      <c r="R46" s="14">
        <v>44623</v>
      </c>
      <c r="S46" s="2">
        <v>0.50989987000000003</v>
      </c>
      <c r="T46" s="2">
        <v>0.98465369999999997</v>
      </c>
      <c r="U46" s="2" t="s">
        <v>43</v>
      </c>
      <c r="V46" s="2" t="s">
        <v>43</v>
      </c>
      <c r="W46" s="14"/>
    </row>
    <row r="47" spans="1:23" x14ac:dyDescent="0.2">
      <c r="A47" s="6"/>
      <c r="B47" s="223"/>
      <c r="C47" s="19" t="s">
        <v>20</v>
      </c>
      <c r="D47" s="20">
        <v>44197</v>
      </c>
      <c r="E47" s="20">
        <v>45302</v>
      </c>
      <c r="F47" s="75">
        <v>0.54498179999999996</v>
      </c>
      <c r="G47" s="75">
        <v>0.73214100000000004</v>
      </c>
      <c r="H47" s="110">
        <f t="shared" si="2"/>
        <v>0.18715920000000008</v>
      </c>
      <c r="I47" s="49" t="s">
        <v>43</v>
      </c>
      <c r="J47" s="49" t="s">
        <v>43</v>
      </c>
      <c r="K47" s="88" t="s">
        <v>150</v>
      </c>
      <c r="L47" s="4"/>
      <c r="M47" s="4"/>
      <c r="N47" s="1">
        <v>14</v>
      </c>
      <c r="O47" s="2" t="s">
        <v>47</v>
      </c>
      <c r="P47" s="2" t="s">
        <v>366</v>
      </c>
      <c r="Q47" s="14">
        <v>44194</v>
      </c>
      <c r="R47" s="14">
        <v>44900</v>
      </c>
      <c r="S47" s="2">
        <v>0.22643023000000001</v>
      </c>
      <c r="T47" s="2">
        <v>0.27678409999999998</v>
      </c>
      <c r="U47" s="2" t="s">
        <v>45</v>
      </c>
      <c r="V47" s="2" t="s">
        <v>45</v>
      </c>
      <c r="W47" s="14"/>
    </row>
    <row r="48" spans="1:23" x14ac:dyDescent="0.2">
      <c r="A48" s="6"/>
      <c r="B48" s="223"/>
      <c r="C48" s="19" t="s">
        <v>28</v>
      </c>
      <c r="D48" s="20">
        <v>44603</v>
      </c>
      <c r="E48" s="20">
        <v>45292</v>
      </c>
      <c r="F48" s="75">
        <v>0.3479968</v>
      </c>
      <c r="G48" s="75">
        <v>0.41425590000000001</v>
      </c>
      <c r="H48" s="110">
        <f t="shared" si="2"/>
        <v>6.6259100000000015E-2</v>
      </c>
      <c r="I48" s="49" t="s">
        <v>43</v>
      </c>
      <c r="J48" s="49" t="s">
        <v>43</v>
      </c>
      <c r="K48" s="88" t="s">
        <v>150</v>
      </c>
      <c r="L48" s="4"/>
      <c r="M48" s="4"/>
      <c r="N48" s="1">
        <v>15</v>
      </c>
      <c r="O48" s="2" t="s">
        <v>47</v>
      </c>
      <c r="P48" s="2" t="s">
        <v>17</v>
      </c>
      <c r="Q48" s="14">
        <v>44197</v>
      </c>
      <c r="R48" s="14">
        <v>45217</v>
      </c>
      <c r="S48" s="2">
        <v>0.23311177</v>
      </c>
      <c r="T48" s="2">
        <v>0.32952140000000002</v>
      </c>
      <c r="U48" s="2" t="s">
        <v>45</v>
      </c>
      <c r="V48" s="2" t="s">
        <v>45</v>
      </c>
      <c r="W48" s="14"/>
    </row>
    <row r="49" spans="1:23" x14ac:dyDescent="0.2">
      <c r="A49" s="6"/>
      <c r="B49" s="223"/>
      <c r="C49" s="19" t="s">
        <v>38</v>
      </c>
      <c r="D49" s="20">
        <v>44864</v>
      </c>
      <c r="E49" s="20">
        <v>45440</v>
      </c>
      <c r="F49" s="75">
        <v>0.30970429999999999</v>
      </c>
      <c r="G49" s="75">
        <v>0.5340473</v>
      </c>
      <c r="H49" s="110">
        <f t="shared" si="2"/>
        <v>0.22434300000000001</v>
      </c>
      <c r="I49" s="49" t="s">
        <v>43</v>
      </c>
      <c r="J49" s="49" t="s">
        <v>43</v>
      </c>
      <c r="K49" s="88" t="s">
        <v>150</v>
      </c>
      <c r="L49" s="4"/>
      <c r="M49" s="4"/>
      <c r="N49" s="1">
        <v>16</v>
      </c>
      <c r="O49" s="2" t="s">
        <v>47</v>
      </c>
      <c r="P49" s="2" t="s">
        <v>18</v>
      </c>
      <c r="Q49" s="14">
        <v>44197</v>
      </c>
      <c r="R49" s="14">
        <v>45204</v>
      </c>
      <c r="S49" s="2">
        <v>0.41552212999999999</v>
      </c>
      <c r="T49" s="2">
        <v>0.42421409999999998</v>
      </c>
      <c r="U49" s="2" t="s">
        <v>45</v>
      </c>
      <c r="V49" s="2" t="s">
        <v>45</v>
      </c>
      <c r="W49" s="14"/>
    </row>
    <row r="50" spans="1:23" x14ac:dyDescent="0.2">
      <c r="A50" s="6"/>
      <c r="B50" s="223"/>
      <c r="C50" s="19" t="s">
        <v>37</v>
      </c>
      <c r="D50" s="20">
        <v>44927</v>
      </c>
      <c r="E50" s="20">
        <v>45399</v>
      </c>
      <c r="F50" s="75">
        <v>0.2030814</v>
      </c>
      <c r="G50" s="75">
        <v>0.34063749999999998</v>
      </c>
      <c r="H50" s="110">
        <f t="shared" si="2"/>
        <v>0.13755609999999999</v>
      </c>
      <c r="I50" s="49" t="s">
        <v>43</v>
      </c>
      <c r="J50" s="49" t="s">
        <v>43</v>
      </c>
      <c r="K50" s="88" t="s">
        <v>150</v>
      </c>
      <c r="L50" s="4"/>
      <c r="M50" s="4"/>
      <c r="N50" s="1">
        <v>17</v>
      </c>
      <c r="O50" s="2" t="s">
        <v>47</v>
      </c>
      <c r="P50" s="2" t="s">
        <v>20</v>
      </c>
      <c r="Q50" s="14">
        <v>44197</v>
      </c>
      <c r="R50" s="14">
        <v>45304</v>
      </c>
      <c r="S50" s="2">
        <v>0.60384413000000003</v>
      </c>
      <c r="T50" s="2">
        <v>0.79332619999999998</v>
      </c>
      <c r="U50" s="2" t="s">
        <v>43</v>
      </c>
      <c r="V50" s="2" t="s">
        <v>43</v>
      </c>
      <c r="W50" s="14"/>
    </row>
    <row r="51" spans="1:23" x14ac:dyDescent="0.2">
      <c r="A51" s="6"/>
      <c r="B51" s="223"/>
      <c r="C51" s="19" t="s">
        <v>32</v>
      </c>
      <c r="D51" s="20">
        <v>45187</v>
      </c>
      <c r="E51" s="20">
        <v>45529</v>
      </c>
      <c r="F51" s="75">
        <v>0.4501252</v>
      </c>
      <c r="G51" s="75">
        <v>0.79285660000000002</v>
      </c>
      <c r="H51" s="110">
        <f t="shared" si="2"/>
        <v>0.34273140000000002</v>
      </c>
      <c r="I51" s="49" t="s">
        <v>43</v>
      </c>
      <c r="J51" s="49" t="s">
        <v>43</v>
      </c>
      <c r="K51" s="88" t="s">
        <v>150</v>
      </c>
      <c r="L51" s="4"/>
      <c r="M51" s="4"/>
      <c r="N51" s="1">
        <v>18</v>
      </c>
      <c r="O51" s="2" t="s">
        <v>47</v>
      </c>
      <c r="P51" s="2" t="s">
        <v>24</v>
      </c>
      <c r="Q51" s="14">
        <v>44573</v>
      </c>
      <c r="R51" s="14">
        <v>45422</v>
      </c>
      <c r="S51" s="2">
        <v>0.27787857999999999</v>
      </c>
      <c r="T51" s="2">
        <v>0.28801080000000001</v>
      </c>
      <c r="U51" s="2" t="s">
        <v>43</v>
      </c>
      <c r="V51" s="2" t="s">
        <v>43</v>
      </c>
      <c r="W51" s="14"/>
    </row>
    <row r="52" spans="1:23" x14ac:dyDescent="0.2">
      <c r="A52" s="6"/>
      <c r="B52" s="224"/>
      <c r="C52" s="115" t="s">
        <v>61</v>
      </c>
      <c r="D52" s="116">
        <v>44624</v>
      </c>
      <c r="E52" s="116">
        <v>45516</v>
      </c>
      <c r="F52" s="117" t="s">
        <v>57</v>
      </c>
      <c r="G52" s="117" t="s">
        <v>57</v>
      </c>
      <c r="H52" s="149" t="s">
        <v>57</v>
      </c>
      <c r="I52" s="119" t="s">
        <v>57</v>
      </c>
      <c r="J52" s="119" t="s">
        <v>57</v>
      </c>
      <c r="K52" s="120" t="s">
        <v>57</v>
      </c>
      <c r="L52" s="4"/>
      <c r="M52" s="4"/>
      <c r="N52" s="1">
        <v>19</v>
      </c>
      <c r="O52" s="2" t="s">
        <v>47</v>
      </c>
      <c r="P52" s="2" t="s">
        <v>25</v>
      </c>
      <c r="Q52" s="14">
        <v>44578</v>
      </c>
      <c r="R52" s="14">
        <v>45334</v>
      </c>
      <c r="S52" s="2">
        <v>0.20859453999999999</v>
      </c>
      <c r="T52" s="2">
        <v>0.25077969999999999</v>
      </c>
      <c r="U52" s="2" t="s">
        <v>43</v>
      </c>
      <c r="V52" s="2" t="s">
        <v>43</v>
      </c>
      <c r="W52" s="14"/>
    </row>
    <row r="53" spans="1:23" x14ac:dyDescent="0.2">
      <c r="A53" s="3"/>
      <c r="B53" s="218" t="s">
        <v>63</v>
      </c>
      <c r="C53" s="135" t="s">
        <v>15</v>
      </c>
      <c r="D53" s="143">
        <v>43899</v>
      </c>
      <c r="E53" s="143">
        <v>44768</v>
      </c>
      <c r="F53" s="145">
        <v>0.27905649999999999</v>
      </c>
      <c r="G53" s="145">
        <v>0.52236819999999995</v>
      </c>
      <c r="H53" s="136">
        <f t="shared" ref="H53:H59" si="3">G53-F53</f>
        <v>0.24331169999999996</v>
      </c>
      <c r="I53" s="146" t="s">
        <v>43</v>
      </c>
      <c r="J53" s="146" t="s">
        <v>43</v>
      </c>
      <c r="K53" s="148" t="str">
        <f t="shared" ref="K53:K59" si="4">IF(I53=J53,"T","F")</f>
        <v>T</v>
      </c>
      <c r="L53" s="19"/>
      <c r="M53" s="4"/>
      <c r="N53" s="1">
        <v>20</v>
      </c>
      <c r="O53" s="2" t="s">
        <v>47</v>
      </c>
      <c r="P53" s="2" t="s">
        <v>28</v>
      </c>
      <c r="Q53" s="14">
        <v>44603</v>
      </c>
      <c r="R53" s="14">
        <v>45292</v>
      </c>
      <c r="S53" s="2">
        <v>0.27629132000000001</v>
      </c>
      <c r="T53" s="2">
        <v>0.42198170000000002</v>
      </c>
      <c r="U53" s="2" t="s">
        <v>43</v>
      </c>
      <c r="V53" s="2" t="s">
        <v>43</v>
      </c>
      <c r="W53" s="2" t="s">
        <v>43</v>
      </c>
    </row>
    <row r="54" spans="1:23" x14ac:dyDescent="0.2">
      <c r="A54" s="3"/>
      <c r="B54" s="219"/>
      <c r="C54" s="17" t="s">
        <v>36</v>
      </c>
      <c r="D54" s="144">
        <v>43905</v>
      </c>
      <c r="E54" s="144">
        <v>44741</v>
      </c>
      <c r="F54" s="18">
        <v>0.7794278</v>
      </c>
      <c r="G54" s="18">
        <v>0.93406389999999995</v>
      </c>
      <c r="H54" s="128">
        <f t="shared" si="3"/>
        <v>0.15463609999999994</v>
      </c>
      <c r="I54" s="5" t="s">
        <v>43</v>
      </c>
      <c r="J54" s="5" t="s">
        <v>43</v>
      </c>
      <c r="K54" s="110" t="str">
        <f t="shared" si="4"/>
        <v>T</v>
      </c>
      <c r="L54" s="19"/>
      <c r="M54" s="4"/>
      <c r="N54" s="1">
        <v>21</v>
      </c>
      <c r="O54" s="2" t="s">
        <v>47</v>
      </c>
      <c r="P54" s="2" t="s">
        <v>38</v>
      </c>
      <c r="Q54" s="14">
        <v>44864</v>
      </c>
      <c r="R54" s="14">
        <v>45440</v>
      </c>
      <c r="S54" s="2">
        <v>0.25440678999999999</v>
      </c>
      <c r="T54" s="2">
        <v>0.44799</v>
      </c>
      <c r="U54" s="2" t="s">
        <v>43</v>
      </c>
      <c r="V54" s="2" t="s">
        <v>43</v>
      </c>
      <c r="W54" s="2" t="s">
        <v>43</v>
      </c>
    </row>
    <row r="55" spans="1:23" x14ac:dyDescent="0.2">
      <c r="A55" s="3"/>
      <c r="B55" s="219"/>
      <c r="C55" s="17" t="s">
        <v>18</v>
      </c>
      <c r="D55" s="144">
        <v>44316</v>
      </c>
      <c r="E55" s="144">
        <v>45069</v>
      </c>
      <c r="F55" s="18">
        <v>0.37770160000000003</v>
      </c>
      <c r="G55" s="18">
        <v>0.43499310000000002</v>
      </c>
      <c r="H55" s="128">
        <f t="shared" si="3"/>
        <v>5.7291499999999995E-2</v>
      </c>
      <c r="I55" s="5" t="s">
        <v>43</v>
      </c>
      <c r="J55" s="5" t="s">
        <v>43</v>
      </c>
      <c r="K55" s="110" t="str">
        <f>IF(I55=J55,"T","F")</f>
        <v>T</v>
      </c>
      <c r="L55" s="19"/>
      <c r="M55" s="4"/>
      <c r="N55" s="1">
        <v>22</v>
      </c>
      <c r="O55" s="2" t="s">
        <v>47</v>
      </c>
      <c r="P55" s="2" t="s">
        <v>37</v>
      </c>
      <c r="Q55" s="14">
        <v>44927</v>
      </c>
      <c r="R55" s="14">
        <v>45399</v>
      </c>
      <c r="S55" s="2">
        <v>0.21266371000000001</v>
      </c>
      <c r="T55" s="2">
        <v>0.35023019999999999</v>
      </c>
      <c r="U55" s="2" t="s">
        <v>43</v>
      </c>
      <c r="V55" s="2" t="s">
        <v>43</v>
      </c>
      <c r="W55" s="2" t="s">
        <v>43</v>
      </c>
    </row>
    <row r="56" spans="1:23" x14ac:dyDescent="0.2">
      <c r="A56" s="3"/>
      <c r="B56" s="219"/>
      <c r="C56" s="17" t="s">
        <v>20</v>
      </c>
      <c r="D56" s="144">
        <v>44316</v>
      </c>
      <c r="E56" s="144">
        <v>45314</v>
      </c>
      <c r="F56" s="18">
        <v>0.50451330000000005</v>
      </c>
      <c r="G56" s="18">
        <v>0.71739399999999998</v>
      </c>
      <c r="H56" s="128">
        <f t="shared" si="3"/>
        <v>0.21288069999999992</v>
      </c>
      <c r="I56" s="5" t="s">
        <v>43</v>
      </c>
      <c r="J56" s="5" t="s">
        <v>43</v>
      </c>
      <c r="K56" s="110" t="str">
        <f t="shared" si="4"/>
        <v>T</v>
      </c>
      <c r="L56" s="19"/>
      <c r="M56" s="4"/>
      <c r="N56" s="1">
        <v>23</v>
      </c>
      <c r="O56" s="2" t="s">
        <v>47</v>
      </c>
      <c r="P56" s="2" t="s">
        <v>33</v>
      </c>
      <c r="Q56" s="14">
        <v>45187</v>
      </c>
      <c r="R56" s="14">
        <v>45529</v>
      </c>
      <c r="S56" s="2">
        <v>0.17037035</v>
      </c>
      <c r="T56" s="2">
        <v>0.20920830000000001</v>
      </c>
      <c r="U56" s="2" t="s">
        <v>43</v>
      </c>
      <c r="V56" s="2" t="s">
        <v>43</v>
      </c>
      <c r="W56" s="2" t="s">
        <v>43</v>
      </c>
    </row>
    <row r="57" spans="1:23" x14ac:dyDescent="0.2">
      <c r="A57" s="3"/>
      <c r="B57" s="219"/>
      <c r="C57" s="17" t="s">
        <v>28</v>
      </c>
      <c r="D57" s="144">
        <v>44797</v>
      </c>
      <c r="E57" s="144">
        <v>45117</v>
      </c>
      <c r="F57" s="18">
        <v>0.22735920000000001</v>
      </c>
      <c r="G57" s="18">
        <v>0.30639159999999999</v>
      </c>
      <c r="H57" s="128">
        <f t="shared" si="3"/>
        <v>7.9032399999999975E-2</v>
      </c>
      <c r="I57" s="5" t="s">
        <v>43</v>
      </c>
      <c r="J57" s="5" t="s">
        <v>43</v>
      </c>
      <c r="K57" s="110" t="str">
        <f t="shared" si="4"/>
        <v>T</v>
      </c>
      <c r="L57" s="19"/>
      <c r="M57" s="4"/>
      <c r="N57" s="1">
        <v>24</v>
      </c>
      <c r="O57" s="2" t="s">
        <v>47</v>
      </c>
      <c r="P57" s="2" t="s">
        <v>32</v>
      </c>
      <c r="Q57" s="14">
        <v>45190</v>
      </c>
      <c r="R57" s="14">
        <v>45528</v>
      </c>
      <c r="S57" s="2">
        <v>0.40071476</v>
      </c>
      <c r="T57" s="2">
        <v>0.68916379999999999</v>
      </c>
      <c r="U57" s="2" t="s">
        <v>43</v>
      </c>
      <c r="V57" s="2" t="s">
        <v>43</v>
      </c>
      <c r="W57" s="2" t="s">
        <v>43</v>
      </c>
    </row>
    <row r="58" spans="1:23" x14ac:dyDescent="0.2">
      <c r="A58" s="3"/>
      <c r="B58" s="219"/>
      <c r="C58" s="17" t="s">
        <v>38</v>
      </c>
      <c r="D58" s="144">
        <v>44869</v>
      </c>
      <c r="E58" s="144">
        <v>45266</v>
      </c>
      <c r="F58" s="18">
        <v>0.28570449999999997</v>
      </c>
      <c r="G58" s="18">
        <v>0.48824980000000001</v>
      </c>
      <c r="H58" s="128">
        <f t="shared" si="3"/>
        <v>0.20254530000000004</v>
      </c>
      <c r="I58" s="5" t="s">
        <v>45</v>
      </c>
      <c r="J58" s="5" t="s">
        <v>43</v>
      </c>
      <c r="K58" s="110" t="str">
        <f t="shared" si="4"/>
        <v>F</v>
      </c>
      <c r="L58" s="19"/>
      <c r="M58" s="4"/>
      <c r="N58" s="1">
        <v>25</v>
      </c>
      <c r="O58" s="2" t="s">
        <v>63</v>
      </c>
      <c r="P58" s="2" t="s">
        <v>15</v>
      </c>
      <c r="Q58" s="14">
        <v>43899</v>
      </c>
      <c r="R58" s="14">
        <v>45022</v>
      </c>
      <c r="S58" s="2">
        <v>0.23259442</v>
      </c>
      <c r="T58" s="2">
        <v>0.61054419999999998</v>
      </c>
      <c r="U58" s="2" t="s">
        <v>45</v>
      </c>
      <c r="V58" s="2" t="s">
        <v>43</v>
      </c>
      <c r="W58" s="2" t="s">
        <v>43</v>
      </c>
    </row>
    <row r="59" spans="1:23" x14ac:dyDescent="0.2">
      <c r="A59" s="3"/>
      <c r="B59" s="219"/>
      <c r="C59" s="17" t="s">
        <v>29</v>
      </c>
      <c r="D59" s="144">
        <v>45015</v>
      </c>
      <c r="E59" s="144">
        <v>45306</v>
      </c>
      <c r="F59" s="18">
        <v>0.3360419</v>
      </c>
      <c r="G59" s="18">
        <v>0.50327330000000003</v>
      </c>
      <c r="H59" s="128">
        <f t="shared" si="3"/>
        <v>0.16723140000000003</v>
      </c>
      <c r="I59" s="5" t="s">
        <v>43</v>
      </c>
      <c r="J59" s="5" t="s">
        <v>43</v>
      </c>
      <c r="K59" s="110" t="str">
        <f t="shared" si="4"/>
        <v>T</v>
      </c>
      <c r="L59" s="19"/>
      <c r="M59" s="4"/>
      <c r="N59" s="1">
        <v>26</v>
      </c>
      <c r="O59" s="2" t="s">
        <v>63</v>
      </c>
      <c r="P59" s="2" t="s">
        <v>382</v>
      </c>
      <c r="Q59" s="14">
        <v>43904</v>
      </c>
      <c r="R59" s="14">
        <v>44624</v>
      </c>
      <c r="S59" s="2">
        <v>0.15131144999999999</v>
      </c>
      <c r="T59" s="2">
        <v>0.32727230000000002</v>
      </c>
      <c r="U59" s="2" t="s">
        <v>45</v>
      </c>
      <c r="V59" s="2" t="s">
        <v>43</v>
      </c>
      <c r="W59" s="2" t="s">
        <v>43</v>
      </c>
    </row>
    <row r="60" spans="1:23" x14ac:dyDescent="0.2">
      <c r="A60" s="3"/>
      <c r="B60" s="221"/>
      <c r="C60" s="137" t="s">
        <v>175</v>
      </c>
      <c r="D60" s="138">
        <v>43908</v>
      </c>
      <c r="E60" s="138">
        <v>45308</v>
      </c>
      <c r="F60" s="140" t="s">
        <v>57</v>
      </c>
      <c r="G60" s="140" t="s">
        <v>57</v>
      </c>
      <c r="H60" s="139"/>
      <c r="I60" s="147"/>
      <c r="J60" s="147"/>
      <c r="K60" s="149"/>
      <c r="L60" s="19"/>
      <c r="M60" s="4"/>
      <c r="N60" s="1">
        <v>27</v>
      </c>
      <c r="O60" s="2" t="s">
        <v>63</v>
      </c>
      <c r="P60" s="2" t="s">
        <v>36</v>
      </c>
      <c r="Q60" s="14">
        <v>43905</v>
      </c>
      <c r="R60" s="14">
        <v>44741</v>
      </c>
      <c r="S60" s="2">
        <v>0.65433593000000001</v>
      </c>
      <c r="T60" s="2">
        <v>0.94725999999999999</v>
      </c>
      <c r="U60" s="2" t="s">
        <v>43</v>
      </c>
      <c r="V60" s="2" t="s">
        <v>43</v>
      </c>
      <c r="W60" s="2"/>
    </row>
    <row r="61" spans="1:23" x14ac:dyDescent="0.2">
      <c r="A61" s="3"/>
      <c r="B61" s="218" t="s">
        <v>64</v>
      </c>
      <c r="C61" s="135" t="s">
        <v>65</v>
      </c>
      <c r="D61" s="143">
        <v>43966</v>
      </c>
      <c r="E61" s="143">
        <v>44406</v>
      </c>
      <c r="F61" s="145">
        <v>0.65884450000000006</v>
      </c>
      <c r="G61" s="145">
        <v>0.79560580000000003</v>
      </c>
      <c r="H61" s="136">
        <f t="shared" ref="H61:H67" si="5">G61-F61</f>
        <v>0.13676129999999997</v>
      </c>
      <c r="I61" s="146" t="s">
        <v>43</v>
      </c>
      <c r="J61" s="146" t="s">
        <v>43</v>
      </c>
      <c r="K61" s="148" t="str">
        <f t="shared" ref="K61:K67" si="6">IF(I61=J61,"T","F")</f>
        <v>T</v>
      </c>
      <c r="L61" s="19"/>
      <c r="M61" s="4"/>
      <c r="N61" s="1">
        <v>28</v>
      </c>
      <c r="O61" s="2" t="s">
        <v>63</v>
      </c>
      <c r="P61" s="2" t="s">
        <v>383</v>
      </c>
      <c r="Q61" s="14">
        <v>43908</v>
      </c>
      <c r="R61" s="14">
        <v>44099</v>
      </c>
      <c r="S61" s="2">
        <v>0.32512189000000002</v>
      </c>
      <c r="T61" s="2">
        <v>0.7228658</v>
      </c>
      <c r="U61" s="2" t="s">
        <v>45</v>
      </c>
      <c r="V61" s="2" t="s">
        <v>45</v>
      </c>
      <c r="W61" s="2" t="s">
        <v>43</v>
      </c>
    </row>
    <row r="62" spans="1:23" x14ac:dyDescent="0.2">
      <c r="A62" s="3"/>
      <c r="B62" s="219"/>
      <c r="C62" s="17" t="s">
        <v>25</v>
      </c>
      <c r="D62" s="144">
        <v>44058</v>
      </c>
      <c r="E62" s="144">
        <v>45296</v>
      </c>
      <c r="F62" s="18">
        <v>0.14878749999999999</v>
      </c>
      <c r="G62" s="18">
        <v>0.31667519999999999</v>
      </c>
      <c r="H62" s="128">
        <f t="shared" si="5"/>
        <v>0.1678877</v>
      </c>
      <c r="I62" s="5" t="s">
        <v>45</v>
      </c>
      <c r="J62" s="5" t="s">
        <v>43</v>
      </c>
      <c r="K62" s="110" t="str">
        <f t="shared" si="6"/>
        <v>F</v>
      </c>
      <c r="L62" s="19"/>
      <c r="M62" s="4"/>
      <c r="N62" s="1">
        <v>29</v>
      </c>
      <c r="O62" s="2" t="s">
        <v>63</v>
      </c>
      <c r="P62" s="2" t="s">
        <v>10</v>
      </c>
      <c r="Q62" s="14">
        <v>43962</v>
      </c>
      <c r="R62" s="14">
        <v>44798</v>
      </c>
      <c r="S62" s="2">
        <v>0.24398097999999999</v>
      </c>
      <c r="T62" s="2">
        <v>0.25953799999999999</v>
      </c>
      <c r="U62" s="2" t="s">
        <v>43</v>
      </c>
      <c r="V62" s="2" t="s">
        <v>43</v>
      </c>
      <c r="W62" s="2" t="s">
        <v>43</v>
      </c>
    </row>
    <row r="63" spans="1:23" x14ac:dyDescent="0.2">
      <c r="A63" s="3"/>
      <c r="B63" s="219"/>
      <c r="C63" s="17" t="s">
        <v>36</v>
      </c>
      <c r="D63" s="144">
        <v>44106</v>
      </c>
      <c r="E63" s="144">
        <v>44470</v>
      </c>
      <c r="F63" s="18">
        <v>0.73351319999999998</v>
      </c>
      <c r="G63" s="18">
        <v>0.92662719999999998</v>
      </c>
      <c r="H63" s="128">
        <f t="shared" si="5"/>
        <v>0.19311400000000001</v>
      </c>
      <c r="I63" s="5" t="s">
        <v>43</v>
      </c>
      <c r="J63" s="5" t="s">
        <v>43</v>
      </c>
      <c r="K63" s="110" t="str">
        <f t="shared" si="6"/>
        <v>T</v>
      </c>
      <c r="L63" s="19"/>
      <c r="M63" s="4"/>
      <c r="N63" s="1">
        <v>30</v>
      </c>
      <c r="O63" s="2" t="s">
        <v>63</v>
      </c>
      <c r="P63" s="2" t="s">
        <v>14</v>
      </c>
      <c r="Q63" s="14">
        <v>43962</v>
      </c>
      <c r="R63" s="14">
        <v>44713</v>
      </c>
      <c r="S63" s="2">
        <v>0.23114211000000001</v>
      </c>
      <c r="T63" s="2">
        <v>0.23825830000000001</v>
      </c>
      <c r="U63" s="2" t="s">
        <v>43</v>
      </c>
      <c r="V63" s="2" t="s">
        <v>43</v>
      </c>
      <c r="W63" s="2" t="s">
        <v>43</v>
      </c>
    </row>
    <row r="64" spans="1:23" x14ac:dyDescent="0.2">
      <c r="A64" s="3"/>
      <c r="B64" s="219"/>
      <c r="C64" s="17" t="s">
        <v>168</v>
      </c>
      <c r="D64" s="144">
        <v>44165</v>
      </c>
      <c r="E64" s="144">
        <v>44453</v>
      </c>
      <c r="F64" s="18">
        <v>0.25275589999999998</v>
      </c>
      <c r="G64" s="18">
        <v>0.41484359999999998</v>
      </c>
      <c r="H64" s="128">
        <f t="shared" si="5"/>
        <v>0.1620877</v>
      </c>
      <c r="I64" s="5" t="s">
        <v>43</v>
      </c>
      <c r="J64" s="5" t="s">
        <v>43</v>
      </c>
      <c r="K64" s="110" t="str">
        <f t="shared" si="6"/>
        <v>T</v>
      </c>
      <c r="L64" s="19"/>
      <c r="M64" s="4"/>
      <c r="N64" s="1">
        <v>31</v>
      </c>
      <c r="O64" s="2" t="s">
        <v>63</v>
      </c>
      <c r="P64" s="2" t="s">
        <v>18</v>
      </c>
      <c r="Q64" s="14">
        <v>44316</v>
      </c>
      <c r="R64" s="14">
        <v>45069</v>
      </c>
      <c r="S64" s="2">
        <v>0.38169194000000001</v>
      </c>
      <c r="T64" s="2">
        <v>0.45609569999999999</v>
      </c>
      <c r="U64" s="2" t="s">
        <v>43</v>
      </c>
      <c r="V64" s="2" t="s">
        <v>43</v>
      </c>
      <c r="W64" s="2" t="s">
        <v>43</v>
      </c>
    </row>
    <row r="65" spans="1:23" x14ac:dyDescent="0.2">
      <c r="A65" s="3"/>
      <c r="B65" s="219"/>
      <c r="C65" s="17" t="s">
        <v>169</v>
      </c>
      <c r="D65" s="144">
        <v>44202</v>
      </c>
      <c r="E65" s="144">
        <v>45029</v>
      </c>
      <c r="F65" s="18">
        <v>0.31694679999999997</v>
      </c>
      <c r="G65" s="18">
        <v>0.7037175</v>
      </c>
      <c r="H65" s="128">
        <f t="shared" si="5"/>
        <v>0.38677070000000002</v>
      </c>
      <c r="I65" s="5" t="s">
        <v>45</v>
      </c>
      <c r="J65" s="5" t="s">
        <v>43</v>
      </c>
      <c r="K65" s="110" t="str">
        <f t="shared" si="6"/>
        <v>F</v>
      </c>
      <c r="L65" s="19"/>
      <c r="M65" s="4"/>
      <c r="N65" s="1">
        <v>32</v>
      </c>
      <c r="O65" s="2" t="s">
        <v>63</v>
      </c>
      <c r="P65" s="2" t="s">
        <v>20</v>
      </c>
      <c r="Q65" s="14">
        <v>44316</v>
      </c>
      <c r="R65" s="14">
        <v>45314</v>
      </c>
      <c r="S65" s="2">
        <v>0.54379533999999996</v>
      </c>
      <c r="T65" s="2">
        <v>0.77683259999999998</v>
      </c>
      <c r="U65" s="2" t="s">
        <v>43</v>
      </c>
      <c r="V65" s="2" t="s">
        <v>43</v>
      </c>
      <c r="W65" s="2" t="s">
        <v>43</v>
      </c>
    </row>
    <row r="66" spans="1:23" x14ac:dyDescent="0.2">
      <c r="A66" s="3"/>
      <c r="B66" s="219"/>
      <c r="C66" s="17" t="s">
        <v>66</v>
      </c>
      <c r="D66" s="144">
        <v>44224</v>
      </c>
      <c r="E66" s="144">
        <v>45236</v>
      </c>
      <c r="F66" s="18">
        <v>0.6707902</v>
      </c>
      <c r="G66" s="18">
        <v>0.90843569999999996</v>
      </c>
      <c r="H66" s="128">
        <f t="shared" si="5"/>
        <v>0.23764549999999995</v>
      </c>
      <c r="I66" s="5" t="s">
        <v>43</v>
      </c>
      <c r="J66" s="5" t="s">
        <v>43</v>
      </c>
      <c r="K66" s="110" t="str">
        <f t="shared" si="6"/>
        <v>T</v>
      </c>
      <c r="L66" s="19"/>
      <c r="M66" s="4"/>
      <c r="N66" s="1">
        <v>33</v>
      </c>
      <c r="O66" s="2" t="s">
        <v>63</v>
      </c>
      <c r="P66" s="2" t="s">
        <v>25</v>
      </c>
      <c r="Q66" s="14">
        <v>44652</v>
      </c>
      <c r="R66" s="14">
        <v>45022</v>
      </c>
      <c r="S66" s="2">
        <v>0.23695756000000001</v>
      </c>
      <c r="T66" s="2">
        <v>0.27543699999999999</v>
      </c>
      <c r="U66" s="2" t="s">
        <v>43</v>
      </c>
      <c r="V66" s="2" t="s">
        <v>43</v>
      </c>
      <c r="W66" s="2" t="s">
        <v>43</v>
      </c>
    </row>
    <row r="67" spans="1:23" x14ac:dyDescent="0.2">
      <c r="A67" s="3"/>
      <c r="B67" s="219"/>
      <c r="C67" s="17" t="s">
        <v>32</v>
      </c>
      <c r="D67" s="144">
        <v>45162</v>
      </c>
      <c r="E67" s="144">
        <v>45521</v>
      </c>
      <c r="F67" s="18">
        <v>0.26592769999999999</v>
      </c>
      <c r="G67" s="18">
        <v>0.46589469999999999</v>
      </c>
      <c r="H67" s="128">
        <f t="shared" si="5"/>
        <v>0.19996700000000001</v>
      </c>
      <c r="I67" s="5" t="s">
        <v>43</v>
      </c>
      <c r="J67" s="5" t="s">
        <v>43</v>
      </c>
      <c r="K67" s="110" t="str">
        <f t="shared" si="6"/>
        <v>T</v>
      </c>
      <c r="L67" s="19"/>
      <c r="M67" s="4"/>
      <c r="N67" s="1">
        <v>34</v>
      </c>
      <c r="O67" s="2" t="s">
        <v>63</v>
      </c>
      <c r="P67" s="2" t="s">
        <v>24</v>
      </c>
      <c r="Q67" s="14">
        <v>44658</v>
      </c>
      <c r="R67" s="14">
        <v>45091</v>
      </c>
      <c r="S67" s="2">
        <v>0.26670577000000001</v>
      </c>
      <c r="T67" s="2">
        <v>0.2626713</v>
      </c>
      <c r="U67" s="2" t="s">
        <v>43</v>
      </c>
      <c r="V67" s="2" t="s">
        <v>43</v>
      </c>
      <c r="W67" s="2" t="s">
        <v>43</v>
      </c>
    </row>
    <row r="68" spans="1:23" x14ac:dyDescent="0.2">
      <c r="A68" s="3"/>
      <c r="B68" s="221"/>
      <c r="C68" s="137" t="s">
        <v>176</v>
      </c>
      <c r="D68" s="138">
        <v>43913</v>
      </c>
      <c r="E68" s="138">
        <v>45521</v>
      </c>
      <c r="F68" s="140" t="s">
        <v>57</v>
      </c>
      <c r="G68" s="140" t="s">
        <v>57</v>
      </c>
      <c r="H68" s="139"/>
      <c r="I68" s="147"/>
      <c r="J68" s="147"/>
      <c r="K68" s="149"/>
      <c r="L68" s="19"/>
      <c r="M68" s="4"/>
      <c r="N68" s="1">
        <v>35</v>
      </c>
      <c r="O68" s="2" t="s">
        <v>63</v>
      </c>
      <c r="P68" s="2" t="s">
        <v>384</v>
      </c>
      <c r="Q68" s="14">
        <v>44658</v>
      </c>
      <c r="R68" s="14">
        <v>45308</v>
      </c>
      <c r="S68" s="2">
        <v>0.20484817999999999</v>
      </c>
      <c r="T68" s="2">
        <v>0.23587920000000001</v>
      </c>
      <c r="U68" s="2" t="s">
        <v>43</v>
      </c>
      <c r="V68" s="2" t="s">
        <v>43</v>
      </c>
      <c r="W68" s="2"/>
    </row>
    <row r="69" spans="1:23" x14ac:dyDescent="0.2">
      <c r="A69" s="3"/>
      <c r="B69" s="218" t="s">
        <v>71</v>
      </c>
      <c r="C69" s="135" t="s">
        <v>20</v>
      </c>
      <c r="D69" s="143">
        <v>44522</v>
      </c>
      <c r="E69" s="143">
        <v>45026</v>
      </c>
      <c r="F69" s="145">
        <v>0.57426480000000002</v>
      </c>
      <c r="G69" s="145">
        <v>0.70247479999999995</v>
      </c>
      <c r="H69" s="136">
        <f t="shared" ref="H69:H70" si="7">G69-F69</f>
        <v>0.12820999999999994</v>
      </c>
      <c r="I69" s="146" t="s">
        <v>43</v>
      </c>
      <c r="J69" s="146" t="s">
        <v>43</v>
      </c>
      <c r="K69" s="148" t="str">
        <f t="shared" ref="K69:K70" si="8">IF(I69=J69,"T","F")</f>
        <v>T</v>
      </c>
      <c r="L69" s="19"/>
      <c r="M69" s="4"/>
      <c r="N69" s="1">
        <v>36</v>
      </c>
      <c r="O69" s="2" t="s">
        <v>63</v>
      </c>
      <c r="P69" s="2" t="s">
        <v>385</v>
      </c>
      <c r="Q69" s="14">
        <v>44725</v>
      </c>
      <c r="R69" s="14">
        <v>45073</v>
      </c>
      <c r="S69" s="2">
        <v>0.12380437</v>
      </c>
      <c r="T69" s="2">
        <v>0.21063470000000001</v>
      </c>
      <c r="U69" s="2" t="s">
        <v>43</v>
      </c>
      <c r="V69" s="2" t="s">
        <v>43</v>
      </c>
      <c r="W69" s="2" t="s">
        <v>43</v>
      </c>
    </row>
    <row r="70" spans="1:23" x14ac:dyDescent="0.2">
      <c r="A70" s="3"/>
      <c r="B70" s="219"/>
      <c r="C70" s="17" t="s">
        <v>24</v>
      </c>
      <c r="D70" s="144">
        <v>44684</v>
      </c>
      <c r="E70" s="144">
        <v>44996</v>
      </c>
      <c r="F70" s="18">
        <v>0.38338159999999999</v>
      </c>
      <c r="G70" s="18">
        <v>0.34829209999999999</v>
      </c>
      <c r="H70" s="128">
        <f t="shared" si="7"/>
        <v>-3.5089499999999996E-2</v>
      </c>
      <c r="I70" s="5" t="s">
        <v>43</v>
      </c>
      <c r="J70" s="5" t="s">
        <v>43</v>
      </c>
      <c r="K70" s="110" t="str">
        <f t="shared" si="8"/>
        <v>T</v>
      </c>
      <c r="L70" s="19"/>
      <c r="M70" s="4"/>
      <c r="N70" s="1">
        <v>37</v>
      </c>
      <c r="O70" s="2" t="s">
        <v>63</v>
      </c>
      <c r="P70" s="2" t="s">
        <v>28</v>
      </c>
      <c r="Q70" s="14">
        <v>44797</v>
      </c>
      <c r="R70" s="14">
        <v>45117</v>
      </c>
      <c r="S70" s="2">
        <v>0.24237784000000001</v>
      </c>
      <c r="T70" s="2">
        <v>0.31191849999999999</v>
      </c>
      <c r="U70" s="2" t="s">
        <v>43</v>
      </c>
      <c r="V70" s="2" t="s">
        <v>43</v>
      </c>
      <c r="W70" s="2" t="s">
        <v>43</v>
      </c>
    </row>
    <row r="71" spans="1:23" x14ac:dyDescent="0.2">
      <c r="A71" s="3"/>
      <c r="B71" s="221"/>
      <c r="C71" s="137" t="s">
        <v>170</v>
      </c>
      <c r="D71" s="138">
        <v>44368</v>
      </c>
      <c r="E71" s="138">
        <v>45039</v>
      </c>
      <c r="F71" s="140" t="s">
        <v>57</v>
      </c>
      <c r="G71" s="140" t="s">
        <v>57</v>
      </c>
      <c r="H71" s="139"/>
      <c r="I71" s="147"/>
      <c r="J71" s="147"/>
      <c r="K71" s="149"/>
      <c r="L71" s="19"/>
      <c r="M71" s="4"/>
      <c r="N71" s="1">
        <v>38</v>
      </c>
      <c r="O71" s="2" t="s">
        <v>63</v>
      </c>
      <c r="P71" s="2" t="s">
        <v>38</v>
      </c>
      <c r="Q71" s="14">
        <v>44869</v>
      </c>
      <c r="R71" s="14">
        <v>45266</v>
      </c>
      <c r="S71" s="2">
        <v>0.33646021999999998</v>
      </c>
      <c r="T71" s="2">
        <v>0.4952491</v>
      </c>
      <c r="U71" s="2" t="s">
        <v>43</v>
      </c>
      <c r="V71" s="2" t="s">
        <v>43</v>
      </c>
      <c r="W71" s="2"/>
    </row>
    <row r="72" spans="1:23" x14ac:dyDescent="0.2">
      <c r="A72" s="3"/>
      <c r="B72" s="218" t="s">
        <v>67</v>
      </c>
      <c r="C72" s="135" t="s">
        <v>36</v>
      </c>
      <c r="D72" s="143">
        <v>43908</v>
      </c>
      <c r="E72" s="143">
        <v>44515</v>
      </c>
      <c r="F72" s="145">
        <v>0.39001079999999999</v>
      </c>
      <c r="G72" s="145">
        <v>0.58601230000000004</v>
      </c>
      <c r="H72" s="136">
        <f t="shared" ref="H72:H81" si="9">G72-F72</f>
        <v>0.19600150000000005</v>
      </c>
      <c r="I72" s="146" t="s">
        <v>43</v>
      </c>
      <c r="J72" s="146" t="s">
        <v>43</v>
      </c>
      <c r="K72" s="148" t="str">
        <f t="shared" ref="K72:K81" si="10">IF(I72=J72,"T","F")</f>
        <v>T</v>
      </c>
      <c r="L72" s="19"/>
      <c r="M72" s="4"/>
      <c r="N72" s="1">
        <v>39</v>
      </c>
      <c r="O72" s="2" t="s">
        <v>63</v>
      </c>
      <c r="P72" s="2" t="s">
        <v>29</v>
      </c>
      <c r="Q72" s="14">
        <v>45015</v>
      </c>
      <c r="R72" s="14">
        <v>45306</v>
      </c>
      <c r="S72" s="2">
        <v>0.40579346999999999</v>
      </c>
      <c r="T72" s="2">
        <v>0.59710569999999996</v>
      </c>
      <c r="U72" s="2" t="s">
        <v>43</v>
      </c>
      <c r="V72" s="2" t="s">
        <v>43</v>
      </c>
      <c r="W72" s="2" t="s">
        <v>43</v>
      </c>
    </row>
    <row r="73" spans="1:23" x14ac:dyDescent="0.2">
      <c r="A73" s="3"/>
      <c r="B73" s="219"/>
      <c r="C73" s="17" t="s">
        <v>11</v>
      </c>
      <c r="D73" s="144">
        <v>44153</v>
      </c>
      <c r="E73" s="144">
        <v>44679</v>
      </c>
      <c r="F73" s="18">
        <v>0.42765520000000001</v>
      </c>
      <c r="G73" s="18">
        <v>0.62150150000000004</v>
      </c>
      <c r="H73" s="128">
        <f t="shared" si="9"/>
        <v>0.19384630000000003</v>
      </c>
      <c r="I73" s="5" t="s">
        <v>43</v>
      </c>
      <c r="J73" s="5" t="s">
        <v>43</v>
      </c>
      <c r="K73" s="110" t="str">
        <f t="shared" si="10"/>
        <v>T</v>
      </c>
      <c r="L73" s="19"/>
      <c r="M73" s="4"/>
      <c r="N73" s="1">
        <v>40</v>
      </c>
      <c r="O73" s="2" t="s">
        <v>64</v>
      </c>
      <c r="P73" s="2" t="s">
        <v>65</v>
      </c>
      <c r="Q73" s="14">
        <v>43966</v>
      </c>
      <c r="R73" s="14">
        <v>44406</v>
      </c>
      <c r="S73" s="2">
        <v>0.4719315</v>
      </c>
      <c r="T73" s="2">
        <v>0.80515809999999999</v>
      </c>
      <c r="U73" s="2" t="s">
        <v>43</v>
      </c>
      <c r="V73" s="2" t="s">
        <v>43</v>
      </c>
      <c r="W73" s="2" t="s">
        <v>43</v>
      </c>
    </row>
    <row r="74" spans="1:23" x14ac:dyDescent="0.2">
      <c r="A74" s="3"/>
      <c r="B74" s="219"/>
      <c r="C74" s="17" t="s">
        <v>68</v>
      </c>
      <c r="D74" s="144">
        <v>44299</v>
      </c>
      <c r="E74" s="144">
        <v>44679</v>
      </c>
      <c r="F74" s="18">
        <v>0.22894700000000001</v>
      </c>
      <c r="G74" s="18">
        <v>0.31205240000000001</v>
      </c>
      <c r="H74" s="128">
        <f t="shared" si="9"/>
        <v>8.3105399999999996E-2</v>
      </c>
      <c r="I74" s="5" t="s">
        <v>43</v>
      </c>
      <c r="J74" s="5" t="s">
        <v>43</v>
      </c>
      <c r="K74" s="110" t="str">
        <f t="shared" si="10"/>
        <v>T</v>
      </c>
      <c r="L74" s="19"/>
      <c r="M74" s="4"/>
      <c r="N74" s="1">
        <v>41</v>
      </c>
      <c r="O74" s="2" t="s">
        <v>64</v>
      </c>
      <c r="P74" s="2" t="s">
        <v>25</v>
      </c>
      <c r="Q74" s="14">
        <v>44058</v>
      </c>
      <c r="R74" s="14">
        <v>45296</v>
      </c>
      <c r="S74" s="2">
        <v>0.17345418000000001</v>
      </c>
      <c r="T74" s="2">
        <v>0.35130790000000001</v>
      </c>
      <c r="U74" s="2" t="s">
        <v>45</v>
      </c>
      <c r="V74" s="2" t="s">
        <v>43</v>
      </c>
      <c r="W74" s="2" t="s">
        <v>43</v>
      </c>
    </row>
    <row r="75" spans="1:23" x14ac:dyDescent="0.2">
      <c r="A75" s="3"/>
      <c r="B75" s="219"/>
      <c r="C75" s="17" t="s">
        <v>18</v>
      </c>
      <c r="D75" s="144">
        <v>44498</v>
      </c>
      <c r="E75" s="144">
        <v>45433</v>
      </c>
      <c r="F75" s="18">
        <v>0.41267680000000001</v>
      </c>
      <c r="G75" s="18">
        <v>0.5312559</v>
      </c>
      <c r="H75" s="128">
        <f t="shared" si="9"/>
        <v>0.11857909999999999</v>
      </c>
      <c r="I75" s="5" t="s">
        <v>43</v>
      </c>
      <c r="J75" s="5" t="s">
        <v>43</v>
      </c>
      <c r="K75" s="110" t="str">
        <f t="shared" si="10"/>
        <v>T</v>
      </c>
      <c r="L75" s="19"/>
      <c r="M75" s="4"/>
      <c r="N75" s="1">
        <v>42</v>
      </c>
      <c r="O75" s="2" t="s">
        <v>64</v>
      </c>
      <c r="P75" s="2" t="s">
        <v>26</v>
      </c>
      <c r="Q75" s="14">
        <v>44058</v>
      </c>
      <c r="R75" s="14">
        <v>45250</v>
      </c>
      <c r="S75" s="2">
        <v>0.22181712000000001</v>
      </c>
      <c r="T75" s="2">
        <v>0.2070816</v>
      </c>
      <c r="U75" s="2" t="s">
        <v>43</v>
      </c>
      <c r="V75" s="2" t="s">
        <v>43</v>
      </c>
      <c r="W75" s="2" t="s">
        <v>43</v>
      </c>
    </row>
    <row r="76" spans="1:23" x14ac:dyDescent="0.2">
      <c r="A76" s="3"/>
      <c r="B76" s="219"/>
      <c r="C76" s="17" t="s">
        <v>20</v>
      </c>
      <c r="D76" s="144">
        <v>44529</v>
      </c>
      <c r="E76" s="144">
        <v>45482</v>
      </c>
      <c r="F76" s="18">
        <v>0.25699349999999999</v>
      </c>
      <c r="G76" s="18">
        <v>0.50003819999999999</v>
      </c>
      <c r="H76" s="128">
        <f t="shared" si="9"/>
        <v>0.2430447</v>
      </c>
      <c r="I76" s="5" t="s">
        <v>43</v>
      </c>
      <c r="J76" s="5" t="s">
        <v>43</v>
      </c>
      <c r="K76" s="110" t="str">
        <f t="shared" si="10"/>
        <v>T</v>
      </c>
      <c r="L76" s="19"/>
      <c r="M76" s="4"/>
      <c r="N76" s="1">
        <v>43</v>
      </c>
      <c r="O76" s="2" t="s">
        <v>64</v>
      </c>
      <c r="P76" s="2" t="s">
        <v>371</v>
      </c>
      <c r="Q76" s="14">
        <v>44058</v>
      </c>
      <c r="R76" s="14">
        <v>45288</v>
      </c>
      <c r="S76" s="2">
        <v>0.19346084</v>
      </c>
      <c r="T76" s="2">
        <v>0.32088159999999999</v>
      </c>
      <c r="U76" s="2" t="s">
        <v>43</v>
      </c>
      <c r="V76" s="2" t="s">
        <v>43</v>
      </c>
      <c r="W76" s="2" t="s">
        <v>43</v>
      </c>
    </row>
    <row r="77" spans="1:23" x14ac:dyDescent="0.2">
      <c r="A77" s="4"/>
      <c r="B77" s="219"/>
      <c r="C77" s="17" t="s">
        <v>27</v>
      </c>
      <c r="D77" s="144">
        <v>44585</v>
      </c>
      <c r="E77" s="144">
        <v>45012</v>
      </c>
      <c r="F77" s="18">
        <v>0.2191671</v>
      </c>
      <c r="G77" s="18">
        <v>0.42483369999999998</v>
      </c>
      <c r="H77" s="128">
        <f t="shared" si="9"/>
        <v>0.20566659999999998</v>
      </c>
      <c r="I77" s="5" t="s">
        <v>43</v>
      </c>
      <c r="J77" s="5" t="s">
        <v>43</v>
      </c>
      <c r="K77" s="110" t="str">
        <f t="shared" si="10"/>
        <v>T</v>
      </c>
      <c r="L77" s="19"/>
      <c r="M77" s="4"/>
      <c r="N77" s="1">
        <v>44</v>
      </c>
      <c r="O77" s="2" t="s">
        <v>64</v>
      </c>
      <c r="P77" s="2" t="s">
        <v>36</v>
      </c>
      <c r="Q77" s="14">
        <v>44106</v>
      </c>
      <c r="R77" s="14">
        <v>44470</v>
      </c>
      <c r="S77" s="2">
        <v>0.62713447</v>
      </c>
      <c r="T77" s="2">
        <v>0.92941810000000002</v>
      </c>
      <c r="U77" s="2" t="s">
        <v>43</v>
      </c>
      <c r="V77" s="2" t="s">
        <v>43</v>
      </c>
      <c r="W77" s="2" t="s">
        <v>43</v>
      </c>
    </row>
    <row r="78" spans="1:23" x14ac:dyDescent="0.2">
      <c r="A78" s="3"/>
      <c r="B78" s="219"/>
      <c r="C78" s="17" t="s">
        <v>38</v>
      </c>
      <c r="D78" s="144">
        <v>44640</v>
      </c>
      <c r="E78" s="144">
        <v>45485</v>
      </c>
      <c r="F78" s="18">
        <v>0.39695730000000001</v>
      </c>
      <c r="G78" s="18">
        <v>0.69418380000000002</v>
      </c>
      <c r="H78" s="128">
        <f t="shared" si="9"/>
        <v>0.2972265</v>
      </c>
      <c r="I78" s="5" t="s">
        <v>43</v>
      </c>
      <c r="J78" s="5" t="s">
        <v>43</v>
      </c>
      <c r="K78" s="110" t="str">
        <f t="shared" si="10"/>
        <v>T</v>
      </c>
      <c r="L78" s="19"/>
      <c r="M78" s="4"/>
      <c r="N78" s="1">
        <v>45</v>
      </c>
      <c r="O78" s="2" t="s">
        <v>64</v>
      </c>
      <c r="P78" s="2" t="s">
        <v>168</v>
      </c>
      <c r="Q78" s="14">
        <v>44165</v>
      </c>
      <c r="R78" s="14">
        <v>44453</v>
      </c>
      <c r="S78" s="2">
        <v>0.22514292999999999</v>
      </c>
      <c r="T78" s="2">
        <v>0.45913949999999998</v>
      </c>
      <c r="U78" s="2" t="s">
        <v>43</v>
      </c>
      <c r="V78" s="2" t="s">
        <v>43</v>
      </c>
      <c r="W78" s="2" t="s">
        <v>43</v>
      </c>
    </row>
    <row r="79" spans="1:23" x14ac:dyDescent="0.2">
      <c r="A79" s="3"/>
      <c r="B79" s="219"/>
      <c r="C79" s="17" t="s">
        <v>28</v>
      </c>
      <c r="D79" s="144">
        <v>44803</v>
      </c>
      <c r="E79" s="144">
        <v>45304</v>
      </c>
      <c r="F79" s="18">
        <v>0.20703189999999999</v>
      </c>
      <c r="G79" s="18">
        <v>0.47266590000000003</v>
      </c>
      <c r="H79" s="128">
        <f t="shared" si="9"/>
        <v>0.26563400000000004</v>
      </c>
      <c r="I79" s="5" t="s">
        <v>45</v>
      </c>
      <c r="J79" s="5" t="s">
        <v>43</v>
      </c>
      <c r="K79" s="110" t="str">
        <f t="shared" si="10"/>
        <v>F</v>
      </c>
      <c r="L79" s="19"/>
      <c r="M79" s="4"/>
      <c r="N79" s="1">
        <v>46</v>
      </c>
      <c r="O79" s="2" t="s">
        <v>64</v>
      </c>
      <c r="P79" s="2" t="s">
        <v>169</v>
      </c>
      <c r="Q79" s="14">
        <v>44202</v>
      </c>
      <c r="R79" s="14">
        <v>45029</v>
      </c>
      <c r="S79" s="2">
        <v>0.29870136000000003</v>
      </c>
      <c r="T79" s="2">
        <v>0.70719030000000005</v>
      </c>
      <c r="U79" s="2" t="s">
        <v>45</v>
      </c>
      <c r="V79" s="2" t="s">
        <v>43</v>
      </c>
      <c r="W79" s="2" t="s">
        <v>43</v>
      </c>
    </row>
    <row r="80" spans="1:23" x14ac:dyDescent="0.2">
      <c r="A80" s="3"/>
      <c r="B80" s="219"/>
      <c r="C80" s="17" t="s">
        <v>31</v>
      </c>
      <c r="D80" s="144">
        <v>45138</v>
      </c>
      <c r="E80" s="144">
        <v>45428</v>
      </c>
      <c r="F80" s="18">
        <v>0.22772780000000001</v>
      </c>
      <c r="G80" s="18">
        <v>0.38864989999999999</v>
      </c>
      <c r="H80" s="128">
        <f t="shared" si="9"/>
        <v>0.16092209999999998</v>
      </c>
      <c r="I80" s="5" t="s">
        <v>43</v>
      </c>
      <c r="J80" s="5" t="s">
        <v>43</v>
      </c>
      <c r="K80" s="110" t="str">
        <f t="shared" si="10"/>
        <v>T</v>
      </c>
      <c r="L80" s="19"/>
      <c r="M80" s="4"/>
      <c r="N80" s="1">
        <v>47</v>
      </c>
      <c r="O80" s="2" t="s">
        <v>64</v>
      </c>
      <c r="P80" s="2" t="s">
        <v>66</v>
      </c>
      <c r="Q80" s="14">
        <v>44224</v>
      </c>
      <c r="R80" s="14">
        <v>45236</v>
      </c>
      <c r="S80" s="2">
        <v>0.61841807999999998</v>
      </c>
      <c r="T80" s="2">
        <v>0.91219479999999997</v>
      </c>
      <c r="U80" s="2" t="s">
        <v>43</v>
      </c>
      <c r="V80" s="2" t="s">
        <v>43</v>
      </c>
      <c r="W80" s="2" t="s">
        <v>43</v>
      </c>
    </row>
    <row r="81" spans="1:23" x14ac:dyDescent="0.2">
      <c r="A81" s="3"/>
      <c r="B81" s="219"/>
      <c r="C81" s="17" t="s">
        <v>32</v>
      </c>
      <c r="D81" s="144">
        <v>45212</v>
      </c>
      <c r="E81" s="144">
        <v>45536</v>
      </c>
      <c r="F81" s="18">
        <v>0.33304499999999998</v>
      </c>
      <c r="G81" s="18">
        <v>0.56329320000000005</v>
      </c>
      <c r="H81" s="128">
        <f t="shared" si="9"/>
        <v>0.23024820000000007</v>
      </c>
      <c r="I81" s="5" t="s">
        <v>43</v>
      </c>
      <c r="J81" s="5" t="s">
        <v>43</v>
      </c>
      <c r="K81" s="110" t="str">
        <f t="shared" si="10"/>
        <v>T</v>
      </c>
      <c r="L81" s="19"/>
      <c r="M81" s="4"/>
      <c r="N81" s="1">
        <v>48</v>
      </c>
      <c r="O81" s="2" t="s">
        <v>64</v>
      </c>
      <c r="P81" s="2" t="s">
        <v>372</v>
      </c>
      <c r="Q81" s="14">
        <v>44412</v>
      </c>
      <c r="R81" s="14">
        <v>44634</v>
      </c>
      <c r="S81" s="2">
        <v>0.16193371000000001</v>
      </c>
      <c r="T81" s="2">
        <v>0.30452659999999998</v>
      </c>
      <c r="U81" s="2" t="s">
        <v>45</v>
      </c>
      <c r="V81" s="2" t="s">
        <v>45</v>
      </c>
      <c r="W81" s="2" t="s">
        <v>43</v>
      </c>
    </row>
    <row r="82" spans="1:23" x14ac:dyDescent="0.2">
      <c r="A82" s="3"/>
      <c r="B82" s="221"/>
      <c r="C82" s="137" t="s">
        <v>174</v>
      </c>
      <c r="D82" s="138">
        <v>43892</v>
      </c>
      <c r="E82" s="138">
        <v>45475</v>
      </c>
      <c r="F82" s="140" t="s">
        <v>57</v>
      </c>
      <c r="G82" s="140" t="s">
        <v>57</v>
      </c>
      <c r="H82" s="139"/>
      <c r="I82" s="147"/>
      <c r="J82" s="147"/>
      <c r="K82" s="149"/>
      <c r="L82" s="19"/>
      <c r="M82" s="4"/>
      <c r="N82" s="1">
        <v>49</v>
      </c>
      <c r="O82" s="2" t="s">
        <v>64</v>
      </c>
      <c r="P82" s="2" t="s">
        <v>20</v>
      </c>
      <c r="Q82" s="14">
        <v>44560</v>
      </c>
      <c r="R82" s="14">
        <v>45521</v>
      </c>
      <c r="S82" s="2">
        <v>0.12718670000000001</v>
      </c>
      <c r="T82" s="2">
        <v>0.21824940000000001</v>
      </c>
      <c r="U82" s="2" t="s">
        <v>45</v>
      </c>
      <c r="V82" s="2" t="s">
        <v>43</v>
      </c>
      <c r="W82" s="2"/>
    </row>
    <row r="83" spans="1:23" x14ac:dyDescent="0.2">
      <c r="A83" s="3"/>
      <c r="B83" s="218" t="s">
        <v>69</v>
      </c>
      <c r="C83" s="135" t="s">
        <v>15</v>
      </c>
      <c r="D83" s="143">
        <v>43893</v>
      </c>
      <c r="E83" s="143">
        <v>44971</v>
      </c>
      <c r="F83" s="145">
        <v>0.2698834</v>
      </c>
      <c r="G83" s="145">
        <v>0.42055559999999997</v>
      </c>
      <c r="H83" s="136">
        <f t="shared" ref="H83:H92" si="11">G83-F83</f>
        <v>0.15067219999999998</v>
      </c>
      <c r="I83" s="146" t="s">
        <v>43</v>
      </c>
      <c r="J83" s="146" t="s">
        <v>43</v>
      </c>
      <c r="K83" s="148" t="str">
        <f t="shared" ref="K83:K92" si="12">IF(I83=J83,"T","F")</f>
        <v>T</v>
      </c>
      <c r="L83" s="19"/>
      <c r="M83" s="4"/>
      <c r="N83" s="1">
        <v>50</v>
      </c>
      <c r="O83" s="2" t="s">
        <v>64</v>
      </c>
      <c r="P83" s="2" t="s">
        <v>373</v>
      </c>
      <c r="Q83" s="14">
        <v>44569</v>
      </c>
      <c r="R83" s="14">
        <v>45071</v>
      </c>
      <c r="S83" s="2">
        <v>0.16830068000000001</v>
      </c>
      <c r="T83" s="2">
        <v>0.21047179999999999</v>
      </c>
      <c r="U83" s="2" t="s">
        <v>43</v>
      </c>
      <c r="V83" s="2" t="s">
        <v>43</v>
      </c>
      <c r="W83" s="2" t="s">
        <v>43</v>
      </c>
    </row>
    <row r="84" spans="1:23" x14ac:dyDescent="0.2">
      <c r="A84" s="3"/>
      <c r="B84" s="219"/>
      <c r="C84" s="17" t="s">
        <v>36</v>
      </c>
      <c r="D84" s="144">
        <v>43894</v>
      </c>
      <c r="E84" s="144">
        <v>44601</v>
      </c>
      <c r="F84" s="18">
        <v>0.47026630000000003</v>
      </c>
      <c r="G84" s="18">
        <v>0.7273347</v>
      </c>
      <c r="H84" s="128">
        <f t="shared" si="11"/>
        <v>0.25706839999999997</v>
      </c>
      <c r="I84" s="5" t="s">
        <v>43</v>
      </c>
      <c r="J84" s="5" t="s">
        <v>43</v>
      </c>
      <c r="K84" s="110" t="str">
        <f t="shared" si="12"/>
        <v>T</v>
      </c>
      <c r="L84" s="19"/>
      <c r="M84" s="4"/>
      <c r="N84" s="1">
        <v>51</v>
      </c>
      <c r="O84" s="2" t="s">
        <v>64</v>
      </c>
      <c r="P84" s="2" t="s">
        <v>38</v>
      </c>
      <c r="Q84" s="14">
        <v>44896</v>
      </c>
      <c r="R84" s="14">
        <v>45322</v>
      </c>
      <c r="S84" s="2">
        <v>0.18851662999999999</v>
      </c>
      <c r="T84" s="2">
        <v>0.2250181</v>
      </c>
      <c r="U84" s="2" t="s">
        <v>43</v>
      </c>
      <c r="V84" s="2" t="s">
        <v>43</v>
      </c>
      <c r="W84" s="2" t="s">
        <v>43</v>
      </c>
    </row>
    <row r="85" spans="1:23" x14ac:dyDescent="0.2">
      <c r="A85" s="3"/>
      <c r="B85" s="219"/>
      <c r="C85" s="17" t="s">
        <v>70</v>
      </c>
      <c r="D85" s="144">
        <v>43903</v>
      </c>
      <c r="E85" s="144">
        <v>44702</v>
      </c>
      <c r="F85" s="18">
        <v>0.15155959999999999</v>
      </c>
      <c r="G85" s="18">
        <v>0.72851829999999995</v>
      </c>
      <c r="H85" s="128">
        <f t="shared" si="11"/>
        <v>0.57695869999999994</v>
      </c>
      <c r="I85" s="5" t="s">
        <v>45</v>
      </c>
      <c r="J85" s="5" t="s">
        <v>43</v>
      </c>
      <c r="K85" s="110" t="str">
        <f t="shared" si="12"/>
        <v>F</v>
      </c>
      <c r="L85" s="19"/>
      <c r="M85" s="4"/>
      <c r="N85" s="1">
        <v>52</v>
      </c>
      <c r="O85" s="2" t="s">
        <v>64</v>
      </c>
      <c r="P85" s="2" t="s">
        <v>30</v>
      </c>
      <c r="Q85" s="14">
        <v>44927</v>
      </c>
      <c r="R85" s="14">
        <v>45504</v>
      </c>
      <c r="S85" s="2">
        <v>0.12891547</v>
      </c>
      <c r="T85" s="2">
        <v>0.29318830000000001</v>
      </c>
      <c r="U85" s="2" t="s">
        <v>45</v>
      </c>
      <c r="V85" s="2" t="s">
        <v>43</v>
      </c>
      <c r="W85" s="2" t="s">
        <v>43</v>
      </c>
    </row>
    <row r="86" spans="1:23" x14ac:dyDescent="0.2">
      <c r="A86" s="3"/>
      <c r="B86" s="219"/>
      <c r="C86" s="17" t="s">
        <v>20</v>
      </c>
      <c r="D86" s="144">
        <v>43918</v>
      </c>
      <c r="E86" s="144">
        <v>45412</v>
      </c>
      <c r="F86" s="18">
        <v>0.55752219999999997</v>
      </c>
      <c r="G86" s="18">
        <v>0.79682280000000005</v>
      </c>
      <c r="H86" s="128">
        <f t="shared" si="11"/>
        <v>0.23930060000000009</v>
      </c>
      <c r="I86" s="5" t="s">
        <v>43</v>
      </c>
      <c r="J86" s="5" t="s">
        <v>43</v>
      </c>
      <c r="K86" s="110" t="str">
        <f t="shared" si="12"/>
        <v>T</v>
      </c>
      <c r="L86" s="19"/>
      <c r="M86" s="4"/>
      <c r="N86" s="1">
        <v>53</v>
      </c>
      <c r="O86" s="2" t="s">
        <v>64</v>
      </c>
      <c r="P86" s="2" t="s">
        <v>37</v>
      </c>
      <c r="Q86" s="14">
        <v>44988</v>
      </c>
      <c r="R86" s="14">
        <v>45383</v>
      </c>
      <c r="S86" s="2">
        <v>0.19420433000000001</v>
      </c>
      <c r="T86" s="2">
        <v>0.26379219999999998</v>
      </c>
      <c r="U86" s="2" t="s">
        <v>43</v>
      </c>
      <c r="V86" s="2" t="s">
        <v>43</v>
      </c>
      <c r="W86" s="2" t="s">
        <v>43</v>
      </c>
    </row>
    <row r="87" spans="1:23" x14ac:dyDescent="0.2">
      <c r="A87" s="4"/>
      <c r="B87" s="219"/>
      <c r="C87" s="17" t="s">
        <v>28</v>
      </c>
      <c r="D87" s="144">
        <v>44119</v>
      </c>
      <c r="E87" s="144">
        <v>45428</v>
      </c>
      <c r="F87" s="18">
        <v>0.22048789999999999</v>
      </c>
      <c r="G87" s="18">
        <v>0.59517520000000002</v>
      </c>
      <c r="H87" s="128">
        <f t="shared" si="11"/>
        <v>0.37468730000000006</v>
      </c>
      <c r="I87" s="5" t="s">
        <v>45</v>
      </c>
      <c r="J87" s="5" t="s">
        <v>43</v>
      </c>
      <c r="K87" s="110" t="str">
        <f t="shared" si="12"/>
        <v>F</v>
      </c>
      <c r="L87" s="19"/>
      <c r="M87" s="4"/>
      <c r="N87" s="1">
        <v>54</v>
      </c>
      <c r="O87" s="2" t="s">
        <v>64</v>
      </c>
      <c r="P87" s="2" t="s">
        <v>32</v>
      </c>
      <c r="Q87" s="14">
        <v>45162</v>
      </c>
      <c r="R87" s="14">
        <v>45521</v>
      </c>
      <c r="S87" s="2">
        <v>0.22996470999999999</v>
      </c>
      <c r="T87" s="2">
        <v>0.50049429999999995</v>
      </c>
      <c r="U87" s="2" t="s">
        <v>43</v>
      </c>
      <c r="V87" s="2" t="s">
        <v>43</v>
      </c>
      <c r="W87" s="2" t="s">
        <v>43</v>
      </c>
    </row>
    <row r="88" spans="1:23" x14ac:dyDescent="0.2">
      <c r="A88" s="3"/>
      <c r="B88" s="219"/>
      <c r="C88" s="17" t="s">
        <v>14</v>
      </c>
      <c r="D88" s="144">
        <v>44208</v>
      </c>
      <c r="E88" s="144">
        <v>44763</v>
      </c>
      <c r="F88" s="18">
        <v>0.30878929999999999</v>
      </c>
      <c r="G88" s="18">
        <v>0.409416</v>
      </c>
      <c r="H88" s="128">
        <f t="shared" si="11"/>
        <v>0.10062670000000001</v>
      </c>
      <c r="I88" s="5" t="s">
        <v>43</v>
      </c>
      <c r="J88" s="5" t="s">
        <v>43</v>
      </c>
      <c r="K88" s="110" t="str">
        <f t="shared" si="12"/>
        <v>T</v>
      </c>
      <c r="L88" s="19"/>
      <c r="M88" s="4"/>
      <c r="N88" s="1">
        <v>55</v>
      </c>
      <c r="O88" s="2" t="s">
        <v>71</v>
      </c>
      <c r="P88" s="2" t="s">
        <v>387</v>
      </c>
      <c r="Q88" s="14">
        <v>44368</v>
      </c>
      <c r="R88" s="14">
        <v>44619</v>
      </c>
      <c r="S88" s="2">
        <v>0.16927225000000001</v>
      </c>
      <c r="T88" s="2">
        <v>0.27444249999999998</v>
      </c>
      <c r="U88" s="2" t="s">
        <v>45</v>
      </c>
      <c r="V88" s="2" t="s">
        <v>45</v>
      </c>
      <c r="W88" s="2" t="s">
        <v>43</v>
      </c>
    </row>
    <row r="89" spans="1:23" x14ac:dyDescent="0.2">
      <c r="A89" s="3"/>
      <c r="B89" s="219"/>
      <c r="C89" s="17" t="s">
        <v>24</v>
      </c>
      <c r="D89" s="144">
        <v>44515</v>
      </c>
      <c r="E89" s="144">
        <v>45186</v>
      </c>
      <c r="F89" s="18">
        <v>0.23833309999999999</v>
      </c>
      <c r="G89" s="18">
        <v>0.3431707</v>
      </c>
      <c r="H89" s="128">
        <f t="shared" si="11"/>
        <v>0.1048376</v>
      </c>
      <c r="I89" s="5" t="s">
        <v>43</v>
      </c>
      <c r="J89" s="5" t="s">
        <v>43</v>
      </c>
      <c r="K89" s="110" t="str">
        <f t="shared" si="12"/>
        <v>T</v>
      </c>
      <c r="L89" s="19"/>
      <c r="M89" s="4"/>
      <c r="N89" s="1">
        <v>56</v>
      </c>
      <c r="O89" s="2" t="s">
        <v>71</v>
      </c>
      <c r="P89" s="2" t="s">
        <v>14</v>
      </c>
      <c r="Q89" s="14">
        <v>44377</v>
      </c>
      <c r="R89" s="14">
        <v>44620</v>
      </c>
      <c r="S89" s="2">
        <v>0.15447992999999999</v>
      </c>
      <c r="T89" s="2">
        <v>0.22113379999999999</v>
      </c>
      <c r="U89" s="2" t="s">
        <v>45</v>
      </c>
      <c r="V89" s="2" t="s">
        <v>43</v>
      </c>
      <c r="W89" s="2" t="s">
        <v>43</v>
      </c>
    </row>
    <row r="90" spans="1:23" x14ac:dyDescent="0.2">
      <c r="A90" s="3"/>
      <c r="B90" s="219"/>
      <c r="C90" s="17" t="s">
        <v>38</v>
      </c>
      <c r="D90" s="144">
        <v>44612</v>
      </c>
      <c r="E90" s="144">
        <v>45317</v>
      </c>
      <c r="F90" s="18">
        <v>0.27134930000000002</v>
      </c>
      <c r="G90" s="18">
        <v>0.51971719999999999</v>
      </c>
      <c r="H90" s="128">
        <f t="shared" si="11"/>
        <v>0.24836789999999997</v>
      </c>
      <c r="I90" s="5" t="s">
        <v>43</v>
      </c>
      <c r="J90" s="5" t="s">
        <v>43</v>
      </c>
      <c r="K90" s="110" t="str">
        <f t="shared" si="12"/>
        <v>T</v>
      </c>
      <c r="L90" s="19"/>
      <c r="M90" s="4"/>
      <c r="N90" s="1">
        <v>57</v>
      </c>
      <c r="O90" s="2" t="s">
        <v>71</v>
      </c>
      <c r="P90" s="2" t="s">
        <v>23</v>
      </c>
      <c r="Q90" s="14">
        <v>44515</v>
      </c>
      <c r="R90" s="14">
        <v>44885</v>
      </c>
      <c r="S90" s="2">
        <v>0.33375758999999999</v>
      </c>
      <c r="T90" s="2">
        <v>0.2829431</v>
      </c>
      <c r="U90" s="2" t="s">
        <v>43</v>
      </c>
      <c r="V90" s="2" t="s">
        <v>43</v>
      </c>
      <c r="W90" s="2" t="s">
        <v>43</v>
      </c>
    </row>
    <row r="91" spans="1:23" x14ac:dyDescent="0.2">
      <c r="A91" s="4"/>
      <c r="B91" s="219"/>
      <c r="C91" s="17" t="s">
        <v>32</v>
      </c>
      <c r="D91" s="144">
        <v>44929</v>
      </c>
      <c r="E91" s="144">
        <v>45514</v>
      </c>
      <c r="F91" s="18">
        <v>0.4322878</v>
      </c>
      <c r="G91" s="18">
        <v>0.63413039999999998</v>
      </c>
      <c r="H91" s="128">
        <f t="shared" si="11"/>
        <v>0.20184259999999998</v>
      </c>
      <c r="I91" s="5" t="s">
        <v>43</v>
      </c>
      <c r="J91" s="5" t="s">
        <v>43</v>
      </c>
      <c r="K91" s="110" t="str">
        <f t="shared" si="12"/>
        <v>T</v>
      </c>
      <c r="L91" s="19"/>
      <c r="M91" s="4"/>
      <c r="N91" s="1">
        <v>58</v>
      </c>
      <c r="O91" s="2" t="s">
        <v>71</v>
      </c>
      <c r="P91" s="2" t="s">
        <v>20</v>
      </c>
      <c r="Q91" s="14">
        <v>44522</v>
      </c>
      <c r="R91" s="14">
        <v>45026</v>
      </c>
      <c r="S91" s="2">
        <v>0.59462570999999997</v>
      </c>
      <c r="T91" s="2">
        <v>0.74405319999999997</v>
      </c>
      <c r="U91" s="2" t="s">
        <v>43</v>
      </c>
      <c r="V91" s="2" t="s">
        <v>43</v>
      </c>
      <c r="W91" s="2" t="s">
        <v>43</v>
      </c>
    </row>
    <row r="92" spans="1:23" x14ac:dyDescent="0.2">
      <c r="A92" s="3"/>
      <c r="B92" s="219"/>
      <c r="C92" s="17" t="s">
        <v>165</v>
      </c>
      <c r="D92" s="144">
        <v>44930</v>
      </c>
      <c r="E92" s="144">
        <v>45514</v>
      </c>
      <c r="F92" s="18">
        <v>0.2813813</v>
      </c>
      <c r="G92" s="18">
        <v>0.33270499999999997</v>
      </c>
      <c r="H92" s="128">
        <f t="shared" si="11"/>
        <v>5.1323699999999972E-2</v>
      </c>
      <c r="I92" s="5" t="s">
        <v>43</v>
      </c>
      <c r="J92" s="5" t="s">
        <v>43</v>
      </c>
      <c r="K92" s="110" t="str">
        <f t="shared" si="12"/>
        <v>T</v>
      </c>
      <c r="L92" s="19"/>
      <c r="M92" s="4"/>
      <c r="N92" s="1">
        <v>59</v>
      </c>
      <c r="O92" s="2" t="s">
        <v>71</v>
      </c>
      <c r="P92" s="2" t="s">
        <v>25</v>
      </c>
      <c r="Q92" s="14">
        <v>44648</v>
      </c>
      <c r="R92" s="14">
        <v>44979</v>
      </c>
      <c r="S92" s="2">
        <v>0.27209773999999998</v>
      </c>
      <c r="T92" s="2">
        <v>0.26299410000000001</v>
      </c>
      <c r="U92" s="2" t="s">
        <v>43</v>
      </c>
      <c r="V92" s="2" t="s">
        <v>43</v>
      </c>
      <c r="W92" s="2" t="s">
        <v>43</v>
      </c>
    </row>
    <row r="93" spans="1:23" x14ac:dyDescent="0.2">
      <c r="A93" s="3"/>
      <c r="B93" s="221"/>
      <c r="C93" s="137" t="s">
        <v>120</v>
      </c>
      <c r="D93" s="138">
        <v>43892</v>
      </c>
      <c r="E93" s="138">
        <v>45475</v>
      </c>
      <c r="F93" s="140" t="s">
        <v>57</v>
      </c>
      <c r="G93" s="140" t="s">
        <v>57</v>
      </c>
      <c r="H93" s="139"/>
      <c r="I93" s="147"/>
      <c r="J93" s="147"/>
      <c r="K93" s="149"/>
      <c r="L93" s="19"/>
      <c r="M93" s="4"/>
      <c r="N93" s="1">
        <v>60</v>
      </c>
      <c r="O93" s="2" t="s">
        <v>71</v>
      </c>
      <c r="P93" s="2" t="s">
        <v>24</v>
      </c>
      <c r="Q93" s="14">
        <v>44684</v>
      </c>
      <c r="R93" s="14">
        <v>44996</v>
      </c>
      <c r="S93" s="2">
        <v>0.30574510999999999</v>
      </c>
      <c r="T93" s="2">
        <v>0.35554910000000001</v>
      </c>
      <c r="U93" s="2" t="s">
        <v>43</v>
      </c>
      <c r="V93" s="2" t="s">
        <v>43</v>
      </c>
      <c r="W93" s="2"/>
    </row>
    <row r="94" spans="1:23" x14ac:dyDescent="0.2">
      <c r="A94" s="3"/>
      <c r="B94" s="218" t="s">
        <v>72</v>
      </c>
      <c r="C94" s="135" t="s">
        <v>124</v>
      </c>
      <c r="D94" s="143">
        <v>43913</v>
      </c>
      <c r="E94" s="143">
        <v>44543</v>
      </c>
      <c r="F94" s="145">
        <v>0.29805700000000002</v>
      </c>
      <c r="G94" s="145">
        <v>0.51732319999999998</v>
      </c>
      <c r="H94" s="136">
        <f t="shared" ref="H94:H101" si="13">G94-F94</f>
        <v>0.21926619999999997</v>
      </c>
      <c r="I94" s="146" t="s">
        <v>43</v>
      </c>
      <c r="J94" s="146" t="s">
        <v>43</v>
      </c>
      <c r="K94" s="148" t="str">
        <f t="shared" ref="K94:K101" si="14">IF(I94=J94,"T","F")</f>
        <v>T</v>
      </c>
      <c r="L94" s="19"/>
      <c r="M94" s="4"/>
      <c r="N94" s="1">
        <v>61</v>
      </c>
      <c r="O94" s="2" t="s">
        <v>71</v>
      </c>
      <c r="P94" s="2" t="s">
        <v>28</v>
      </c>
      <c r="Q94" s="14">
        <v>44804</v>
      </c>
      <c r="R94" s="14">
        <v>45025</v>
      </c>
      <c r="S94" s="2">
        <v>0.21910441</v>
      </c>
      <c r="T94" s="2">
        <v>0.26513639999999999</v>
      </c>
      <c r="U94" s="2" t="s">
        <v>43</v>
      </c>
      <c r="V94" s="2" t="s">
        <v>43</v>
      </c>
      <c r="W94" s="2" t="s">
        <v>43</v>
      </c>
    </row>
    <row r="95" spans="1:23" x14ac:dyDescent="0.2">
      <c r="A95" s="3"/>
      <c r="B95" s="219"/>
      <c r="C95" s="17" t="s">
        <v>36</v>
      </c>
      <c r="D95" s="144">
        <v>43920</v>
      </c>
      <c r="E95" s="144">
        <v>44718</v>
      </c>
      <c r="F95" s="18">
        <v>0.81465069999999995</v>
      </c>
      <c r="G95" s="18">
        <v>0.95629710000000001</v>
      </c>
      <c r="H95" s="128">
        <f t="shared" si="13"/>
        <v>0.14164640000000006</v>
      </c>
      <c r="I95" s="5" t="s">
        <v>43</v>
      </c>
      <c r="J95" s="5" t="s">
        <v>43</v>
      </c>
      <c r="K95" s="110" t="str">
        <f t="shared" si="14"/>
        <v>T</v>
      </c>
      <c r="L95" s="19"/>
      <c r="M95" s="4"/>
      <c r="N95" s="1">
        <v>62</v>
      </c>
      <c r="O95" s="2" t="s">
        <v>67</v>
      </c>
      <c r="P95" s="2" t="s">
        <v>382</v>
      </c>
      <c r="Q95" s="14">
        <v>43906</v>
      </c>
      <c r="R95" s="14">
        <v>44621</v>
      </c>
      <c r="S95" s="2">
        <v>9.584782E-2</v>
      </c>
      <c r="T95" s="2">
        <v>0.20718729999999999</v>
      </c>
      <c r="U95" s="2" t="s">
        <v>45</v>
      </c>
      <c r="V95" s="2" t="s">
        <v>43</v>
      </c>
      <c r="W95" s="2" t="s">
        <v>43</v>
      </c>
    </row>
    <row r="96" spans="1:23" x14ac:dyDescent="0.2">
      <c r="A96" s="3"/>
      <c r="B96" s="219"/>
      <c r="C96" s="17" t="s">
        <v>20</v>
      </c>
      <c r="D96" s="144">
        <v>44280</v>
      </c>
      <c r="E96" s="144">
        <v>45442</v>
      </c>
      <c r="F96" s="18">
        <v>0.48770469999999999</v>
      </c>
      <c r="G96" s="18">
        <v>0.70852289999999996</v>
      </c>
      <c r="H96" s="128">
        <f t="shared" si="13"/>
        <v>0.22081819999999996</v>
      </c>
      <c r="I96" s="5" t="s">
        <v>43</v>
      </c>
      <c r="J96" s="5" t="s">
        <v>43</v>
      </c>
      <c r="K96" s="110" t="str">
        <f t="shared" si="14"/>
        <v>T</v>
      </c>
      <c r="L96" s="19"/>
      <c r="M96" s="4"/>
      <c r="N96" s="1">
        <v>63</v>
      </c>
      <c r="O96" s="2" t="s">
        <v>67</v>
      </c>
      <c r="P96" s="2" t="s">
        <v>15</v>
      </c>
      <c r="Q96" s="14">
        <v>43906</v>
      </c>
      <c r="R96" s="14">
        <v>45281</v>
      </c>
      <c r="S96" s="2">
        <v>0.15861127999999999</v>
      </c>
      <c r="T96" s="2">
        <v>0.30568709999999999</v>
      </c>
      <c r="U96" s="2" t="s">
        <v>43</v>
      </c>
      <c r="V96" s="2" t="s">
        <v>43</v>
      </c>
      <c r="W96" s="2" t="s">
        <v>43</v>
      </c>
    </row>
    <row r="97" spans="1:23" x14ac:dyDescent="0.2">
      <c r="A97" s="3"/>
      <c r="B97" s="219"/>
      <c r="C97" s="17" t="s">
        <v>23</v>
      </c>
      <c r="D97" s="144">
        <v>44544</v>
      </c>
      <c r="E97" s="144">
        <v>45272</v>
      </c>
      <c r="F97" s="18">
        <v>0.20710310000000001</v>
      </c>
      <c r="G97" s="18">
        <v>0.30382589999999998</v>
      </c>
      <c r="H97" s="128">
        <f t="shared" si="13"/>
        <v>9.672279999999997E-2</v>
      </c>
      <c r="I97" s="5" t="s">
        <v>43</v>
      </c>
      <c r="J97" s="5" t="s">
        <v>43</v>
      </c>
      <c r="K97" s="110" t="str">
        <f t="shared" si="14"/>
        <v>T</v>
      </c>
      <c r="L97" s="19"/>
      <c r="M97" s="4"/>
      <c r="N97" s="1">
        <v>64</v>
      </c>
      <c r="O97" s="2" t="s">
        <v>67</v>
      </c>
      <c r="P97" s="2" t="s">
        <v>16</v>
      </c>
      <c r="Q97" s="14">
        <v>43906</v>
      </c>
      <c r="R97" s="14">
        <v>44476</v>
      </c>
      <c r="S97" s="2">
        <v>0.13226609</v>
      </c>
      <c r="T97" s="2">
        <v>0.25175239999999999</v>
      </c>
      <c r="U97" s="2" t="s">
        <v>43</v>
      </c>
      <c r="V97" s="2" t="s">
        <v>43</v>
      </c>
      <c r="W97" s="2" t="s">
        <v>43</v>
      </c>
    </row>
    <row r="98" spans="1:23" x14ac:dyDescent="0.2">
      <c r="A98" s="3"/>
      <c r="B98" s="219"/>
      <c r="C98" s="17" t="s">
        <v>28</v>
      </c>
      <c r="D98" s="144">
        <v>44572</v>
      </c>
      <c r="E98" s="144">
        <v>45300</v>
      </c>
      <c r="F98" s="18">
        <v>0.1135274</v>
      </c>
      <c r="G98" s="18">
        <v>0.3968894</v>
      </c>
      <c r="H98" s="128">
        <f t="shared" si="13"/>
        <v>0.283362</v>
      </c>
      <c r="I98" s="5" t="s">
        <v>45</v>
      </c>
      <c r="J98" s="5" t="s">
        <v>43</v>
      </c>
      <c r="K98" s="110" t="str">
        <f t="shared" si="14"/>
        <v>F</v>
      </c>
      <c r="L98" s="19"/>
      <c r="M98" s="4"/>
      <c r="N98" s="1">
        <v>65</v>
      </c>
      <c r="O98" s="2" t="s">
        <v>67</v>
      </c>
      <c r="P98" s="2" t="s">
        <v>388</v>
      </c>
      <c r="Q98" s="14">
        <v>43906</v>
      </c>
      <c r="R98" s="14">
        <v>44159</v>
      </c>
      <c r="S98" s="2">
        <v>9.9393690000000007E-2</v>
      </c>
      <c r="T98" s="2">
        <v>0.2204267</v>
      </c>
      <c r="U98" s="2" t="s">
        <v>45</v>
      </c>
      <c r="V98" s="2" t="s">
        <v>45</v>
      </c>
      <c r="W98" s="2" t="s">
        <v>43</v>
      </c>
    </row>
    <row r="99" spans="1:23" x14ac:dyDescent="0.2">
      <c r="A99" s="3"/>
      <c r="B99" s="219"/>
      <c r="C99" s="17" t="s">
        <v>24</v>
      </c>
      <c r="D99" s="144">
        <v>44685</v>
      </c>
      <c r="E99" s="144">
        <v>45115</v>
      </c>
      <c r="F99" s="18">
        <v>0.30866189999999999</v>
      </c>
      <c r="G99" s="18">
        <v>0.40134540000000002</v>
      </c>
      <c r="H99" s="128">
        <f t="shared" si="13"/>
        <v>9.268350000000003E-2</v>
      </c>
      <c r="I99" s="5" t="s">
        <v>43</v>
      </c>
      <c r="J99" s="5" t="s">
        <v>43</v>
      </c>
      <c r="K99" s="110" t="str">
        <f t="shared" si="14"/>
        <v>T</v>
      </c>
      <c r="L99" s="19"/>
      <c r="M99" s="4"/>
      <c r="N99" s="1">
        <v>66</v>
      </c>
      <c r="O99" s="2" t="s">
        <v>67</v>
      </c>
      <c r="P99" s="2" t="s">
        <v>389</v>
      </c>
      <c r="Q99" s="14">
        <v>43908</v>
      </c>
      <c r="R99" s="14">
        <v>44011</v>
      </c>
      <c r="S99" s="2">
        <v>0.18447430000000001</v>
      </c>
      <c r="T99" s="2">
        <v>0.34764089999999997</v>
      </c>
      <c r="U99" s="2" t="s">
        <v>45</v>
      </c>
      <c r="V99" s="2" t="s">
        <v>45</v>
      </c>
      <c r="W99" s="2" t="s">
        <v>43</v>
      </c>
    </row>
    <row r="100" spans="1:23" x14ac:dyDescent="0.2">
      <c r="A100" s="3"/>
      <c r="B100" s="219"/>
      <c r="C100" s="17" t="s">
        <v>38</v>
      </c>
      <c r="D100" s="144">
        <v>44889</v>
      </c>
      <c r="E100" s="144">
        <v>45417</v>
      </c>
      <c r="F100" s="18">
        <v>0.30110900000000002</v>
      </c>
      <c r="G100" s="18">
        <v>0.50553550000000003</v>
      </c>
      <c r="H100" s="128">
        <f t="shared" si="13"/>
        <v>0.20442650000000001</v>
      </c>
      <c r="I100" s="5" t="s">
        <v>45</v>
      </c>
      <c r="J100" s="5" t="s">
        <v>43</v>
      </c>
      <c r="K100" s="110" t="str">
        <f t="shared" si="14"/>
        <v>F</v>
      </c>
      <c r="L100" s="19"/>
      <c r="M100" s="4"/>
      <c r="N100" s="1">
        <v>67</v>
      </c>
      <c r="O100" s="2" t="s">
        <v>67</v>
      </c>
      <c r="P100" s="2" t="s">
        <v>390</v>
      </c>
      <c r="Q100" s="14">
        <v>43910</v>
      </c>
      <c r="R100" s="14">
        <v>44209</v>
      </c>
      <c r="S100" s="2">
        <v>0.14632113999999999</v>
      </c>
      <c r="T100" s="2">
        <v>0.292182</v>
      </c>
      <c r="U100" s="2" t="s">
        <v>43</v>
      </c>
      <c r="V100" s="2" t="s">
        <v>43</v>
      </c>
      <c r="W100" s="2" t="s">
        <v>43</v>
      </c>
    </row>
    <row r="101" spans="1:23" x14ac:dyDescent="0.2">
      <c r="A101" s="4"/>
      <c r="B101" s="219"/>
      <c r="C101" s="17" t="s">
        <v>32</v>
      </c>
      <c r="D101" s="144">
        <v>44928</v>
      </c>
      <c r="E101" s="144">
        <v>45522</v>
      </c>
      <c r="F101" s="18">
        <v>0.49287069999999999</v>
      </c>
      <c r="G101" s="18">
        <v>0.76614539999999998</v>
      </c>
      <c r="H101" s="128">
        <f t="shared" si="13"/>
        <v>0.27327469999999998</v>
      </c>
      <c r="I101" s="5" t="s">
        <v>43</v>
      </c>
      <c r="J101" s="5" t="s">
        <v>43</v>
      </c>
      <c r="K101" s="110" t="str">
        <f t="shared" si="14"/>
        <v>T</v>
      </c>
      <c r="L101" s="19"/>
      <c r="M101" s="4"/>
      <c r="N101" s="1">
        <v>68</v>
      </c>
      <c r="O101" s="2" t="s">
        <v>67</v>
      </c>
      <c r="P101" s="2" t="s">
        <v>36</v>
      </c>
      <c r="Q101" s="14">
        <v>43917</v>
      </c>
      <c r="R101" s="14">
        <v>44515</v>
      </c>
      <c r="S101" s="2">
        <v>0.29660185999999999</v>
      </c>
      <c r="T101" s="2">
        <v>0.60327629999999999</v>
      </c>
      <c r="U101" s="2" t="s">
        <v>43</v>
      </c>
      <c r="V101" s="2" t="s">
        <v>43</v>
      </c>
      <c r="W101" s="2" t="s">
        <v>43</v>
      </c>
    </row>
    <row r="102" spans="1:23" x14ac:dyDescent="0.2">
      <c r="A102" s="4"/>
      <c r="B102" s="221"/>
      <c r="C102" s="137" t="s">
        <v>177</v>
      </c>
      <c r="D102" s="138">
        <v>43963</v>
      </c>
      <c r="E102" s="138">
        <v>45492</v>
      </c>
      <c r="F102" s="140" t="s">
        <v>57</v>
      </c>
      <c r="G102" s="140" t="s">
        <v>57</v>
      </c>
      <c r="H102" s="139"/>
      <c r="I102" s="147"/>
      <c r="J102" s="147"/>
      <c r="K102" s="149"/>
      <c r="L102" s="19"/>
      <c r="M102" s="4"/>
      <c r="N102" s="1">
        <v>69</v>
      </c>
      <c r="O102" s="2" t="s">
        <v>67</v>
      </c>
      <c r="P102" s="2" t="s">
        <v>391</v>
      </c>
      <c r="Q102" s="14">
        <v>44011</v>
      </c>
      <c r="R102" s="14">
        <v>44364</v>
      </c>
      <c r="S102" s="2">
        <v>0.25735935999999998</v>
      </c>
      <c r="T102" s="2">
        <v>0.32132359999999999</v>
      </c>
      <c r="U102" s="2" t="s">
        <v>43</v>
      </c>
      <c r="V102" s="2" t="s">
        <v>43</v>
      </c>
      <c r="W102" s="2"/>
    </row>
    <row r="103" spans="1:23" x14ac:dyDescent="0.2">
      <c r="A103" s="3"/>
      <c r="B103" s="218" t="s">
        <v>73</v>
      </c>
      <c r="C103" s="135" t="s">
        <v>124</v>
      </c>
      <c r="D103" s="143">
        <v>43892</v>
      </c>
      <c r="E103" s="143">
        <v>44912</v>
      </c>
      <c r="F103" s="145">
        <v>0.36087390000000003</v>
      </c>
      <c r="G103" s="145">
        <v>0.44651370000000001</v>
      </c>
      <c r="H103" s="136">
        <f t="shared" ref="H103:H111" si="15">G103-F103</f>
        <v>8.5639799999999988E-2</v>
      </c>
      <c r="I103" s="146" t="s">
        <v>43</v>
      </c>
      <c r="J103" s="146" t="s">
        <v>43</v>
      </c>
      <c r="K103" s="148" t="str">
        <f t="shared" ref="K103:K111" si="16">IF(I103=J103,"T","F")</f>
        <v>T</v>
      </c>
      <c r="L103" s="19"/>
      <c r="M103" s="4"/>
      <c r="N103" s="1">
        <v>70</v>
      </c>
      <c r="O103" s="2" t="s">
        <v>67</v>
      </c>
      <c r="P103" s="2" t="s">
        <v>392</v>
      </c>
      <c r="Q103" s="14">
        <v>44098</v>
      </c>
      <c r="R103" s="14">
        <v>44537</v>
      </c>
      <c r="S103" s="2">
        <v>0.20839863</v>
      </c>
      <c r="T103" s="2">
        <v>0.2331261</v>
      </c>
      <c r="U103" s="2" t="s">
        <v>43</v>
      </c>
      <c r="V103" s="2" t="s">
        <v>43</v>
      </c>
      <c r="W103" s="2" t="s">
        <v>43</v>
      </c>
    </row>
    <row r="104" spans="1:23" x14ac:dyDescent="0.2">
      <c r="A104" s="3"/>
      <c r="B104" s="219"/>
      <c r="C104" s="17" t="s">
        <v>36</v>
      </c>
      <c r="D104" s="144">
        <v>43892</v>
      </c>
      <c r="E104" s="144">
        <v>44912</v>
      </c>
      <c r="F104" s="18">
        <v>0.62500330000000004</v>
      </c>
      <c r="G104" s="18">
        <v>0.91712479999999996</v>
      </c>
      <c r="H104" s="128">
        <f t="shared" si="15"/>
        <v>0.29212149999999992</v>
      </c>
      <c r="I104" s="5" t="s">
        <v>43</v>
      </c>
      <c r="J104" s="5" t="s">
        <v>43</v>
      </c>
      <c r="K104" s="110" t="str">
        <f t="shared" si="16"/>
        <v>T</v>
      </c>
      <c r="L104" s="19"/>
      <c r="M104" s="4"/>
      <c r="N104" s="1">
        <v>71</v>
      </c>
      <c r="O104" s="2" t="s">
        <v>67</v>
      </c>
      <c r="P104" s="2" t="s">
        <v>11</v>
      </c>
      <c r="Q104" s="14">
        <v>44153</v>
      </c>
      <c r="R104" s="14">
        <v>44679</v>
      </c>
      <c r="S104" s="2">
        <v>0.42279651000000001</v>
      </c>
      <c r="T104" s="2">
        <v>0.63002740000000002</v>
      </c>
      <c r="U104" s="2" t="s">
        <v>43</v>
      </c>
      <c r="V104" s="2" t="s">
        <v>43</v>
      </c>
      <c r="W104" s="2" t="s">
        <v>43</v>
      </c>
    </row>
    <row r="105" spans="1:23" x14ac:dyDescent="0.2">
      <c r="A105" s="3"/>
      <c r="B105" s="219"/>
      <c r="C105" s="17" t="s">
        <v>20</v>
      </c>
      <c r="D105" s="144">
        <v>43998</v>
      </c>
      <c r="E105" s="144">
        <v>45492</v>
      </c>
      <c r="F105" s="18">
        <v>0.44325239999999999</v>
      </c>
      <c r="G105" s="18">
        <v>0.68445739999999999</v>
      </c>
      <c r="H105" s="128">
        <f t="shared" si="15"/>
        <v>0.241205</v>
      </c>
      <c r="I105" s="5" t="s">
        <v>43</v>
      </c>
      <c r="J105" s="5" t="s">
        <v>43</v>
      </c>
      <c r="K105" s="110" t="str">
        <f t="shared" si="16"/>
        <v>T</v>
      </c>
      <c r="L105" s="19"/>
      <c r="M105" s="4"/>
      <c r="N105" s="1">
        <v>72</v>
      </c>
      <c r="O105" s="2" t="s">
        <v>67</v>
      </c>
      <c r="P105" s="2" t="s">
        <v>393</v>
      </c>
      <c r="Q105" s="14">
        <v>44169</v>
      </c>
      <c r="R105" s="14">
        <v>44457</v>
      </c>
      <c r="S105" s="2">
        <v>0.21837808</v>
      </c>
      <c r="T105" s="2">
        <v>0.26198719999999998</v>
      </c>
      <c r="U105" s="2" t="s">
        <v>43</v>
      </c>
      <c r="V105" s="2" t="s">
        <v>43</v>
      </c>
      <c r="W105" s="2" t="s">
        <v>43</v>
      </c>
    </row>
    <row r="106" spans="1:23" x14ac:dyDescent="0.2">
      <c r="A106" s="3"/>
      <c r="B106" s="219"/>
      <c r="C106" s="17" t="s">
        <v>19</v>
      </c>
      <c r="D106" s="144">
        <v>44141</v>
      </c>
      <c r="E106" s="144">
        <v>45154</v>
      </c>
      <c r="F106" s="18">
        <v>0.20886440000000001</v>
      </c>
      <c r="G106" s="18">
        <v>0.48385879999999998</v>
      </c>
      <c r="H106" s="128">
        <f t="shared" si="15"/>
        <v>0.27499439999999997</v>
      </c>
      <c r="I106" s="5" t="s">
        <v>45</v>
      </c>
      <c r="J106" s="5" t="s">
        <v>43</v>
      </c>
      <c r="K106" s="110" t="str">
        <f t="shared" si="16"/>
        <v>F</v>
      </c>
      <c r="L106" s="19"/>
      <c r="M106" s="4"/>
      <c r="N106" s="1">
        <v>73</v>
      </c>
      <c r="O106" s="2" t="s">
        <v>67</v>
      </c>
      <c r="P106" s="2" t="s">
        <v>68</v>
      </c>
      <c r="Q106" s="14">
        <v>44299</v>
      </c>
      <c r="R106" s="14">
        <v>44679</v>
      </c>
      <c r="S106" s="2">
        <v>0.23262004</v>
      </c>
      <c r="T106" s="2">
        <v>0.33018389999999997</v>
      </c>
      <c r="U106" s="2" t="s">
        <v>43</v>
      </c>
      <c r="V106" s="2" t="s">
        <v>43</v>
      </c>
      <c r="W106" s="2" t="s">
        <v>43</v>
      </c>
    </row>
    <row r="107" spans="1:23" x14ac:dyDescent="0.2">
      <c r="A107" s="4"/>
      <c r="B107" s="219"/>
      <c r="C107" s="17" t="s">
        <v>14</v>
      </c>
      <c r="D107" s="144">
        <v>44155</v>
      </c>
      <c r="E107" s="144">
        <v>44912</v>
      </c>
      <c r="F107" s="18">
        <v>0.30135010000000001</v>
      </c>
      <c r="G107" s="18">
        <v>0.45854109999999998</v>
      </c>
      <c r="H107" s="128">
        <f t="shared" si="15"/>
        <v>0.15719099999999997</v>
      </c>
      <c r="I107" s="5" t="s">
        <v>43</v>
      </c>
      <c r="J107" s="5" t="s">
        <v>43</v>
      </c>
      <c r="K107" s="110" t="str">
        <f t="shared" si="16"/>
        <v>T</v>
      </c>
      <c r="L107" s="19"/>
      <c r="M107" s="4"/>
      <c r="N107" s="1">
        <v>74</v>
      </c>
      <c r="O107" s="2" t="s">
        <v>67</v>
      </c>
      <c r="P107" s="2" t="s">
        <v>18</v>
      </c>
      <c r="Q107" s="14">
        <v>44498</v>
      </c>
      <c r="R107" s="14">
        <v>45433</v>
      </c>
      <c r="S107" s="2">
        <v>0.44422053</v>
      </c>
      <c r="T107" s="2">
        <v>0.54906940000000004</v>
      </c>
      <c r="U107" s="2" t="s">
        <v>43</v>
      </c>
      <c r="V107" s="2" t="s">
        <v>43</v>
      </c>
      <c r="W107" s="2" t="s">
        <v>43</v>
      </c>
    </row>
    <row r="108" spans="1:23" x14ac:dyDescent="0.2">
      <c r="A108" s="3"/>
      <c r="B108" s="219"/>
      <c r="C108" s="17" t="s">
        <v>24</v>
      </c>
      <c r="D108" s="144">
        <v>44393</v>
      </c>
      <c r="E108" s="144">
        <v>45454</v>
      </c>
      <c r="F108" s="18">
        <v>0.38498739999999998</v>
      </c>
      <c r="G108" s="18">
        <v>0.4871646</v>
      </c>
      <c r="H108" s="128">
        <f t="shared" si="15"/>
        <v>0.10217720000000002</v>
      </c>
      <c r="I108" s="5" t="s">
        <v>43</v>
      </c>
      <c r="J108" s="5" t="s">
        <v>43</v>
      </c>
      <c r="K108" s="110" t="str">
        <f t="shared" si="16"/>
        <v>T</v>
      </c>
      <c r="L108" s="19"/>
      <c r="M108" s="4"/>
      <c r="N108" s="1">
        <v>75</v>
      </c>
      <c r="O108" s="2" t="s">
        <v>67</v>
      </c>
      <c r="P108" s="2" t="s">
        <v>17</v>
      </c>
      <c r="Q108" s="14">
        <v>44523</v>
      </c>
      <c r="R108" s="14">
        <v>44965</v>
      </c>
      <c r="S108" s="2">
        <v>0.18171008999999999</v>
      </c>
      <c r="T108" s="2">
        <v>0.2425339</v>
      </c>
      <c r="U108" s="2" t="s">
        <v>45</v>
      </c>
      <c r="V108" s="2" t="s">
        <v>45</v>
      </c>
      <c r="W108" s="2" t="s">
        <v>43</v>
      </c>
    </row>
    <row r="109" spans="1:23" x14ac:dyDescent="0.2">
      <c r="A109" s="3"/>
      <c r="B109" s="219"/>
      <c r="C109" s="17" t="s">
        <v>28</v>
      </c>
      <c r="D109" s="144">
        <v>44393</v>
      </c>
      <c r="E109" s="144">
        <v>45376</v>
      </c>
      <c r="F109" s="18">
        <v>0.29520639999999998</v>
      </c>
      <c r="G109" s="18">
        <v>0.59169300000000002</v>
      </c>
      <c r="H109" s="128">
        <f t="shared" si="15"/>
        <v>0.29648660000000004</v>
      </c>
      <c r="I109" s="5" t="s">
        <v>43</v>
      </c>
      <c r="J109" s="5" t="s">
        <v>43</v>
      </c>
      <c r="K109" s="110" t="str">
        <f t="shared" si="16"/>
        <v>T</v>
      </c>
      <c r="L109" s="19"/>
      <c r="M109" s="4"/>
      <c r="N109" s="1">
        <v>76</v>
      </c>
      <c r="O109" s="2" t="s">
        <v>67</v>
      </c>
      <c r="P109" s="2" t="s">
        <v>20</v>
      </c>
      <c r="Q109" s="14">
        <v>44529</v>
      </c>
      <c r="R109" s="14">
        <v>45482</v>
      </c>
      <c r="S109" s="2">
        <v>0.32871482000000002</v>
      </c>
      <c r="T109" s="2">
        <v>0.58002039999999999</v>
      </c>
      <c r="U109" s="2" t="s">
        <v>43</v>
      </c>
      <c r="V109" s="2" t="s">
        <v>43</v>
      </c>
      <c r="W109" s="2" t="s">
        <v>43</v>
      </c>
    </row>
    <row r="110" spans="1:23" x14ac:dyDescent="0.2">
      <c r="A110" s="3"/>
      <c r="B110" s="219"/>
      <c r="C110" s="17" t="s">
        <v>32</v>
      </c>
      <c r="D110" s="144">
        <v>45175</v>
      </c>
      <c r="E110" s="144">
        <v>45513</v>
      </c>
      <c r="F110" s="18">
        <v>0.52303489999999997</v>
      </c>
      <c r="G110" s="18">
        <v>0.87369019999999997</v>
      </c>
      <c r="H110" s="128">
        <f t="shared" si="15"/>
        <v>0.3506553</v>
      </c>
      <c r="I110" s="5" t="s">
        <v>43</v>
      </c>
      <c r="J110" s="5" t="s">
        <v>43</v>
      </c>
      <c r="K110" s="110" t="str">
        <f t="shared" si="16"/>
        <v>T</v>
      </c>
      <c r="L110" s="19"/>
      <c r="M110" s="4"/>
      <c r="N110" s="1">
        <v>77</v>
      </c>
      <c r="O110" s="2" t="s">
        <v>67</v>
      </c>
      <c r="P110" s="2" t="s">
        <v>22</v>
      </c>
      <c r="Q110" s="14">
        <v>44557</v>
      </c>
      <c r="R110" s="14">
        <v>45028</v>
      </c>
      <c r="S110" s="2">
        <v>0.10243326</v>
      </c>
      <c r="T110" s="2">
        <v>0.22003909999999999</v>
      </c>
      <c r="U110" s="2" t="s">
        <v>45</v>
      </c>
      <c r="V110" s="2" t="s">
        <v>43</v>
      </c>
      <c r="W110" s="2" t="s">
        <v>43</v>
      </c>
    </row>
    <row r="111" spans="1:23" x14ac:dyDescent="0.2">
      <c r="A111" s="3"/>
      <c r="B111" s="219"/>
      <c r="C111" s="17" t="s">
        <v>38</v>
      </c>
      <c r="D111" s="144">
        <v>44907</v>
      </c>
      <c r="E111" s="144">
        <v>45491</v>
      </c>
      <c r="F111" s="18">
        <v>0.38259609999999999</v>
      </c>
      <c r="G111" s="18">
        <v>0.56276649999999995</v>
      </c>
      <c r="H111" s="128">
        <f t="shared" si="15"/>
        <v>0.18017039999999995</v>
      </c>
      <c r="I111" s="5" t="s">
        <v>43</v>
      </c>
      <c r="J111" s="5" t="s">
        <v>43</v>
      </c>
      <c r="K111" s="110" t="str">
        <f t="shared" si="16"/>
        <v>T</v>
      </c>
      <c r="L111" s="19"/>
      <c r="M111" s="4"/>
      <c r="N111" s="1">
        <v>78</v>
      </c>
      <c r="O111" s="2" t="s">
        <v>67</v>
      </c>
      <c r="P111" s="2" t="s">
        <v>27</v>
      </c>
      <c r="Q111" s="14">
        <v>44585</v>
      </c>
      <c r="R111" s="14">
        <v>45012</v>
      </c>
      <c r="S111" s="2">
        <v>0.18945745</v>
      </c>
      <c r="T111" s="2">
        <v>0.4456196</v>
      </c>
      <c r="U111" s="2" t="s">
        <v>43</v>
      </c>
      <c r="V111" s="2" t="s">
        <v>43</v>
      </c>
      <c r="W111" s="2" t="s">
        <v>43</v>
      </c>
    </row>
    <row r="112" spans="1:23" x14ac:dyDescent="0.2">
      <c r="A112" s="3"/>
      <c r="B112" s="221"/>
      <c r="C112" s="137" t="s">
        <v>117</v>
      </c>
      <c r="D112" s="138">
        <v>44133</v>
      </c>
      <c r="E112" s="138">
        <v>45515</v>
      </c>
      <c r="F112" s="140" t="s">
        <v>57</v>
      </c>
      <c r="G112" s="140" t="s">
        <v>57</v>
      </c>
      <c r="H112" s="139"/>
      <c r="I112" s="147"/>
      <c r="J112" s="147"/>
      <c r="K112" s="149"/>
      <c r="L112" s="19"/>
      <c r="M112" s="4"/>
      <c r="N112" s="1">
        <v>79</v>
      </c>
      <c r="O112" s="2" t="s">
        <v>67</v>
      </c>
      <c r="P112" s="2" t="s">
        <v>38</v>
      </c>
      <c r="Q112" s="14">
        <v>44640</v>
      </c>
      <c r="R112" s="14">
        <v>45485</v>
      </c>
      <c r="S112" s="2">
        <v>0.40263736999999999</v>
      </c>
      <c r="T112" s="2">
        <v>0.71085750000000003</v>
      </c>
      <c r="U112" s="2" t="s">
        <v>43</v>
      </c>
      <c r="V112" s="2" t="s">
        <v>43</v>
      </c>
      <c r="W112" s="2"/>
    </row>
    <row r="113" spans="1:23" x14ac:dyDescent="0.2">
      <c r="A113" s="3"/>
      <c r="B113" s="218" t="s">
        <v>74</v>
      </c>
      <c r="C113" s="135" t="s">
        <v>75</v>
      </c>
      <c r="D113" s="143">
        <v>44008</v>
      </c>
      <c r="E113" s="143">
        <v>44720</v>
      </c>
      <c r="F113" s="145">
        <v>0.37330190000000002</v>
      </c>
      <c r="G113" s="145">
        <v>0.53731200000000001</v>
      </c>
      <c r="H113" s="136">
        <f t="shared" ref="H113:H124" si="17">G113-F113</f>
        <v>0.16401009999999999</v>
      </c>
      <c r="I113" s="146" t="s">
        <v>43</v>
      </c>
      <c r="J113" s="146" t="s">
        <v>43</v>
      </c>
      <c r="K113" s="148" t="str">
        <f t="shared" ref="K113:K124" si="18">IF(I113=J113,"T","F")</f>
        <v>T</v>
      </c>
      <c r="L113" s="19"/>
      <c r="M113" s="4"/>
      <c r="N113" s="1">
        <v>80</v>
      </c>
      <c r="O113" s="2" t="s">
        <v>67</v>
      </c>
      <c r="P113" s="2" t="s">
        <v>25</v>
      </c>
      <c r="Q113" s="14">
        <v>44664</v>
      </c>
      <c r="R113" s="14">
        <v>45519</v>
      </c>
      <c r="S113" s="2">
        <v>0.17992958000000001</v>
      </c>
      <c r="T113" s="2">
        <v>0.23389180000000001</v>
      </c>
      <c r="U113" s="2" t="s">
        <v>43</v>
      </c>
      <c r="V113" s="2" t="s">
        <v>43</v>
      </c>
      <c r="W113" s="2" t="s">
        <v>43</v>
      </c>
    </row>
    <row r="114" spans="1:23" x14ac:dyDescent="0.2">
      <c r="A114" s="3"/>
      <c r="B114" s="219"/>
      <c r="C114" s="17" t="s">
        <v>35</v>
      </c>
      <c r="D114" s="144">
        <v>44050</v>
      </c>
      <c r="E114" s="144">
        <v>44767</v>
      </c>
      <c r="F114" s="18">
        <v>0.62793549999999998</v>
      </c>
      <c r="G114" s="18">
        <v>0.8281944</v>
      </c>
      <c r="H114" s="128">
        <f t="shared" si="17"/>
        <v>0.20025890000000002</v>
      </c>
      <c r="I114" s="5" t="s">
        <v>43</v>
      </c>
      <c r="J114" s="5" t="s">
        <v>43</v>
      </c>
      <c r="K114" s="110" t="str">
        <f t="shared" si="18"/>
        <v>T</v>
      </c>
      <c r="L114" s="19"/>
      <c r="M114" s="4"/>
      <c r="N114" s="1">
        <v>81</v>
      </c>
      <c r="O114" s="2" t="s">
        <v>67</v>
      </c>
      <c r="P114" s="2" t="s">
        <v>26</v>
      </c>
      <c r="Q114" s="14">
        <v>44694</v>
      </c>
      <c r="R114" s="14">
        <v>45367</v>
      </c>
      <c r="S114" s="2">
        <v>0.21816426</v>
      </c>
      <c r="T114" s="2">
        <v>0.2655401</v>
      </c>
      <c r="U114" s="2" t="s">
        <v>43</v>
      </c>
      <c r="V114" s="2" t="s">
        <v>43</v>
      </c>
      <c r="W114" s="2" t="s">
        <v>43</v>
      </c>
    </row>
    <row r="115" spans="1:23" x14ac:dyDescent="0.2">
      <c r="A115" s="3"/>
      <c r="B115" s="219"/>
      <c r="C115" s="17" t="s">
        <v>17</v>
      </c>
      <c r="D115" s="144">
        <v>44058</v>
      </c>
      <c r="E115" s="144">
        <v>45297</v>
      </c>
      <c r="F115" s="18">
        <v>0.25818239999999998</v>
      </c>
      <c r="G115" s="18">
        <v>0.42390889999999998</v>
      </c>
      <c r="H115" s="128">
        <f t="shared" si="17"/>
        <v>0.1657265</v>
      </c>
      <c r="I115" s="5" t="s">
        <v>43</v>
      </c>
      <c r="J115" s="5" t="s">
        <v>43</v>
      </c>
      <c r="K115" s="110" t="str">
        <f t="shared" si="18"/>
        <v>T</v>
      </c>
      <c r="L115" s="19"/>
      <c r="M115" s="4"/>
      <c r="N115" s="1">
        <v>82</v>
      </c>
      <c r="O115" s="2" t="s">
        <v>67</v>
      </c>
      <c r="P115" s="2" t="s">
        <v>28</v>
      </c>
      <c r="Q115" s="14">
        <v>44803</v>
      </c>
      <c r="R115" s="14">
        <v>45353</v>
      </c>
      <c r="S115" s="2">
        <v>0.31257950000000001</v>
      </c>
      <c r="T115" s="2">
        <v>0.53260719999999995</v>
      </c>
      <c r="U115" s="2" t="s">
        <v>43</v>
      </c>
      <c r="V115" s="2" t="s">
        <v>43</v>
      </c>
      <c r="W115" s="2" t="s">
        <v>43</v>
      </c>
    </row>
    <row r="116" spans="1:23" x14ac:dyDescent="0.2">
      <c r="A116" s="3"/>
      <c r="B116" s="219"/>
      <c r="C116" s="17" t="s">
        <v>18</v>
      </c>
      <c r="D116" s="144">
        <v>44208</v>
      </c>
      <c r="E116" s="144">
        <v>44987</v>
      </c>
      <c r="F116" s="18">
        <v>0.31962279999999998</v>
      </c>
      <c r="G116" s="18">
        <v>0.43060419999999999</v>
      </c>
      <c r="H116" s="128">
        <f t="shared" si="17"/>
        <v>0.11098140000000001</v>
      </c>
      <c r="I116" s="5" t="s">
        <v>43</v>
      </c>
      <c r="J116" s="5" t="s">
        <v>43</v>
      </c>
      <c r="K116" s="110" t="str">
        <f t="shared" si="18"/>
        <v>T</v>
      </c>
      <c r="L116" s="19"/>
      <c r="M116" s="4"/>
      <c r="N116" s="1">
        <v>83</v>
      </c>
      <c r="O116" s="2" t="s">
        <v>67</v>
      </c>
      <c r="P116" s="2" t="s">
        <v>29</v>
      </c>
      <c r="Q116" s="14">
        <v>44841</v>
      </c>
      <c r="R116" s="14">
        <v>45457</v>
      </c>
      <c r="S116" s="2">
        <v>0.13580107</v>
      </c>
      <c r="T116" s="2">
        <v>0.2135687</v>
      </c>
      <c r="U116" s="2" t="s">
        <v>43</v>
      </c>
      <c r="V116" s="2" t="s">
        <v>43</v>
      </c>
      <c r="W116" s="2" t="s">
        <v>43</v>
      </c>
    </row>
    <row r="117" spans="1:23" x14ac:dyDescent="0.2">
      <c r="A117" s="3"/>
      <c r="B117" s="219"/>
      <c r="C117" s="17" t="s">
        <v>76</v>
      </c>
      <c r="D117" s="144">
        <v>44255</v>
      </c>
      <c r="E117" s="144">
        <v>45096</v>
      </c>
      <c r="F117" s="18">
        <v>0.2753044</v>
      </c>
      <c r="G117" s="18">
        <v>0.5891516</v>
      </c>
      <c r="H117" s="128">
        <f t="shared" si="17"/>
        <v>0.31384719999999999</v>
      </c>
      <c r="I117" s="5" t="s">
        <v>43</v>
      </c>
      <c r="J117" s="5" t="s">
        <v>43</v>
      </c>
      <c r="K117" s="110" t="str">
        <f t="shared" si="18"/>
        <v>T</v>
      </c>
      <c r="L117" s="19"/>
      <c r="M117" s="4"/>
      <c r="N117" s="1">
        <v>84</v>
      </c>
      <c r="O117" s="2" t="s">
        <v>67</v>
      </c>
      <c r="P117" s="2" t="s">
        <v>31</v>
      </c>
      <c r="Q117" s="14">
        <v>45138</v>
      </c>
      <c r="R117" s="14">
        <v>45428</v>
      </c>
      <c r="S117" s="2">
        <v>0.22856509999999999</v>
      </c>
      <c r="T117" s="2">
        <v>0.39705430000000003</v>
      </c>
      <c r="U117" s="2" t="s">
        <v>43</v>
      </c>
      <c r="V117" s="2" t="s">
        <v>43</v>
      </c>
      <c r="W117" s="2" t="s">
        <v>43</v>
      </c>
    </row>
    <row r="118" spans="1:23" x14ac:dyDescent="0.2">
      <c r="A118" s="4"/>
      <c r="B118" s="219"/>
      <c r="C118" s="17" t="s">
        <v>20</v>
      </c>
      <c r="D118" s="144">
        <v>44517</v>
      </c>
      <c r="E118" s="144">
        <v>45338</v>
      </c>
      <c r="F118" s="18">
        <v>0.39086219999999999</v>
      </c>
      <c r="G118" s="18">
        <v>0.81713630000000004</v>
      </c>
      <c r="H118" s="128">
        <f t="shared" si="17"/>
        <v>0.42627410000000004</v>
      </c>
      <c r="I118" s="5" t="s">
        <v>45</v>
      </c>
      <c r="J118" s="5" t="s">
        <v>43</v>
      </c>
      <c r="K118" s="110" t="str">
        <f t="shared" si="18"/>
        <v>F</v>
      </c>
      <c r="L118" s="19"/>
      <c r="M118" s="4"/>
      <c r="N118" s="1">
        <v>85</v>
      </c>
      <c r="O118" s="2" t="s">
        <v>67</v>
      </c>
      <c r="P118" s="2" t="s">
        <v>32</v>
      </c>
      <c r="Q118" s="14">
        <v>45208</v>
      </c>
      <c r="R118" s="14">
        <v>45536</v>
      </c>
      <c r="S118" s="2">
        <v>0.37207066999999999</v>
      </c>
      <c r="T118" s="2">
        <v>0.63164109999999996</v>
      </c>
      <c r="U118" s="2" t="s">
        <v>43</v>
      </c>
      <c r="V118" s="2" t="s">
        <v>43</v>
      </c>
      <c r="W118" s="2" t="s">
        <v>43</v>
      </c>
    </row>
    <row r="119" spans="1:23" x14ac:dyDescent="0.2">
      <c r="A119" s="3"/>
      <c r="B119" s="219"/>
      <c r="C119" s="17" t="s">
        <v>26</v>
      </c>
      <c r="D119" s="144">
        <v>44567</v>
      </c>
      <c r="E119" s="144">
        <v>45251</v>
      </c>
      <c r="F119" s="18">
        <v>0.28591139999999998</v>
      </c>
      <c r="G119" s="18">
        <v>0.4499976</v>
      </c>
      <c r="H119" s="128">
        <f t="shared" si="17"/>
        <v>0.16408620000000002</v>
      </c>
      <c r="I119" s="5" t="s">
        <v>43</v>
      </c>
      <c r="J119" s="5" t="s">
        <v>43</v>
      </c>
      <c r="K119" s="110" t="str">
        <f t="shared" si="18"/>
        <v>T</v>
      </c>
      <c r="L119" s="19"/>
      <c r="M119" s="4"/>
      <c r="N119" s="1">
        <v>86</v>
      </c>
      <c r="O119" s="2" t="s">
        <v>67</v>
      </c>
      <c r="P119" s="2" t="s">
        <v>33</v>
      </c>
      <c r="Q119" s="14">
        <v>45215</v>
      </c>
      <c r="R119" s="14">
        <v>45536</v>
      </c>
      <c r="S119" s="2">
        <v>0.17000161</v>
      </c>
      <c r="T119" s="2">
        <v>0.24358630000000001</v>
      </c>
      <c r="U119" s="2" t="s">
        <v>43</v>
      </c>
      <c r="V119" s="2" t="s">
        <v>43</v>
      </c>
      <c r="W119" s="2" t="s">
        <v>43</v>
      </c>
    </row>
    <row r="120" spans="1:23" x14ac:dyDescent="0.2">
      <c r="A120" s="3"/>
      <c r="B120" s="219"/>
      <c r="C120" s="17" t="s">
        <v>28</v>
      </c>
      <c r="D120" s="144">
        <v>44731</v>
      </c>
      <c r="E120" s="144">
        <v>45080</v>
      </c>
      <c r="F120" s="18">
        <v>0.4010107</v>
      </c>
      <c r="G120" s="18">
        <v>0.61558020000000002</v>
      </c>
      <c r="H120" s="128">
        <f t="shared" si="17"/>
        <v>0.21456950000000002</v>
      </c>
      <c r="I120" s="5" t="s">
        <v>43</v>
      </c>
      <c r="J120" s="5" t="s">
        <v>43</v>
      </c>
      <c r="K120" s="110" t="str">
        <f t="shared" si="18"/>
        <v>T</v>
      </c>
      <c r="L120" s="19"/>
      <c r="M120" s="4"/>
      <c r="N120" s="1">
        <v>87</v>
      </c>
      <c r="O120" s="2" t="s">
        <v>69</v>
      </c>
      <c r="P120" s="2" t="s">
        <v>15</v>
      </c>
      <c r="Q120" s="14">
        <v>43893</v>
      </c>
      <c r="R120" s="14">
        <v>44971</v>
      </c>
      <c r="S120" s="2">
        <v>0.16416876</v>
      </c>
      <c r="T120" s="2">
        <v>0.28263100000000002</v>
      </c>
      <c r="U120" s="2" t="s">
        <v>45</v>
      </c>
      <c r="V120" s="2" t="s">
        <v>43</v>
      </c>
      <c r="W120" s="2" t="s">
        <v>43</v>
      </c>
    </row>
    <row r="121" spans="1:23" x14ac:dyDescent="0.2">
      <c r="A121" s="3"/>
      <c r="B121" s="219"/>
      <c r="C121" s="17" t="s">
        <v>77</v>
      </c>
      <c r="D121" s="144">
        <v>44740</v>
      </c>
      <c r="E121" s="144">
        <v>45257</v>
      </c>
      <c r="F121" s="18">
        <v>0.28541909999999998</v>
      </c>
      <c r="G121" s="18">
        <v>0.4152111</v>
      </c>
      <c r="H121" s="128">
        <f t="shared" si="17"/>
        <v>0.12979200000000002</v>
      </c>
      <c r="I121" s="5" t="s">
        <v>43</v>
      </c>
      <c r="J121" s="5" t="s">
        <v>43</v>
      </c>
      <c r="K121" s="110" t="str">
        <f t="shared" si="18"/>
        <v>T</v>
      </c>
      <c r="L121" s="19"/>
      <c r="M121" s="4"/>
      <c r="N121" s="1">
        <v>88</v>
      </c>
      <c r="O121" s="2" t="s">
        <v>69</v>
      </c>
      <c r="P121" s="2" t="s">
        <v>70</v>
      </c>
      <c r="Q121" s="14">
        <v>43903</v>
      </c>
      <c r="R121" s="14">
        <v>44702</v>
      </c>
      <c r="S121" s="2">
        <v>0.17923433</v>
      </c>
      <c r="T121" s="2">
        <v>0.71944549999999996</v>
      </c>
      <c r="U121" s="2" t="s">
        <v>45</v>
      </c>
      <c r="V121" s="2" t="s">
        <v>43</v>
      </c>
      <c r="W121" s="2" t="s">
        <v>43</v>
      </c>
    </row>
    <row r="122" spans="1:23" x14ac:dyDescent="0.2">
      <c r="A122" s="3"/>
      <c r="B122" s="219"/>
      <c r="C122" s="17" t="s">
        <v>38</v>
      </c>
      <c r="D122" s="144">
        <v>44874</v>
      </c>
      <c r="E122" s="144">
        <v>45351</v>
      </c>
      <c r="F122" s="18">
        <v>0.29596729999999999</v>
      </c>
      <c r="G122" s="18">
        <v>0.462779</v>
      </c>
      <c r="H122" s="128">
        <f t="shared" si="17"/>
        <v>0.16681170000000001</v>
      </c>
      <c r="I122" s="5" t="s">
        <v>43</v>
      </c>
      <c r="J122" s="5" t="s">
        <v>43</v>
      </c>
      <c r="K122" s="110" t="str">
        <f t="shared" si="18"/>
        <v>T</v>
      </c>
      <c r="L122" s="19"/>
      <c r="M122" s="4"/>
      <c r="N122" s="1">
        <v>89</v>
      </c>
      <c r="O122" s="2" t="s">
        <v>69</v>
      </c>
      <c r="P122" s="2" t="s">
        <v>36</v>
      </c>
      <c r="Q122" s="14">
        <v>43904</v>
      </c>
      <c r="R122" s="14">
        <v>44601</v>
      </c>
      <c r="S122" s="2">
        <v>0.42641698</v>
      </c>
      <c r="T122" s="2">
        <v>0.73652209999999996</v>
      </c>
      <c r="U122" s="2" t="s">
        <v>43</v>
      </c>
      <c r="V122" s="2" t="s">
        <v>43</v>
      </c>
      <c r="W122" s="2" t="s">
        <v>43</v>
      </c>
    </row>
    <row r="123" spans="1:23" x14ac:dyDescent="0.2">
      <c r="A123" s="3"/>
      <c r="B123" s="219"/>
      <c r="C123" s="17" t="s">
        <v>78</v>
      </c>
      <c r="D123" s="144">
        <v>45104</v>
      </c>
      <c r="E123" s="144">
        <v>45357</v>
      </c>
      <c r="F123" s="18">
        <v>0.4280137</v>
      </c>
      <c r="G123" s="18">
        <v>0.50050119999999998</v>
      </c>
      <c r="H123" s="128">
        <f t="shared" si="17"/>
        <v>7.2487499999999983E-2</v>
      </c>
      <c r="I123" s="5" t="s">
        <v>43</v>
      </c>
      <c r="J123" s="5" t="s">
        <v>43</v>
      </c>
      <c r="K123" s="110" t="str">
        <f t="shared" si="18"/>
        <v>T</v>
      </c>
      <c r="L123" s="19"/>
      <c r="M123" s="4"/>
      <c r="N123" s="1">
        <v>90</v>
      </c>
      <c r="O123" s="2" t="s">
        <v>69</v>
      </c>
      <c r="P123" s="2" t="s">
        <v>20</v>
      </c>
      <c r="Q123" s="14">
        <v>43918</v>
      </c>
      <c r="R123" s="14">
        <v>45412</v>
      </c>
      <c r="S123" s="2">
        <v>0.50544279999999997</v>
      </c>
      <c r="T123" s="2">
        <v>0.85327489999999995</v>
      </c>
      <c r="U123" s="2" t="s">
        <v>43</v>
      </c>
      <c r="V123" s="2" t="s">
        <v>43</v>
      </c>
      <c r="W123" s="2" t="s">
        <v>43</v>
      </c>
    </row>
    <row r="124" spans="1:23" x14ac:dyDescent="0.2">
      <c r="A124" s="3"/>
      <c r="B124" s="219"/>
      <c r="C124" s="17" t="s">
        <v>32</v>
      </c>
      <c r="D124" s="144">
        <v>45230</v>
      </c>
      <c r="E124" s="144">
        <v>45361</v>
      </c>
      <c r="F124" s="18">
        <v>0.2720284</v>
      </c>
      <c r="G124" s="18">
        <v>0.33706229999999998</v>
      </c>
      <c r="H124" s="128">
        <f t="shared" si="17"/>
        <v>6.5033899999999978E-2</v>
      </c>
      <c r="I124" s="5" t="s">
        <v>43</v>
      </c>
      <c r="J124" s="5" t="s">
        <v>43</v>
      </c>
      <c r="K124" s="110" t="str">
        <f t="shared" si="18"/>
        <v>T</v>
      </c>
      <c r="L124" s="19"/>
      <c r="M124" s="4"/>
      <c r="N124" s="1">
        <v>91</v>
      </c>
      <c r="O124" s="2" t="s">
        <v>69</v>
      </c>
      <c r="P124" s="2" t="s">
        <v>28</v>
      </c>
      <c r="Q124" s="14">
        <v>44119</v>
      </c>
      <c r="R124" s="14">
        <v>45428</v>
      </c>
      <c r="S124" s="2">
        <v>0.22220348000000001</v>
      </c>
      <c r="T124" s="2">
        <v>0.60469830000000002</v>
      </c>
      <c r="U124" s="2" t="s">
        <v>45</v>
      </c>
      <c r="V124" s="2" t="s">
        <v>43</v>
      </c>
      <c r="W124" s="2" t="s">
        <v>43</v>
      </c>
    </row>
    <row r="125" spans="1:23" x14ac:dyDescent="0.2">
      <c r="A125" s="3"/>
      <c r="B125" s="221"/>
      <c r="C125" s="137" t="s">
        <v>173</v>
      </c>
      <c r="D125" s="138">
        <v>43983</v>
      </c>
      <c r="E125" s="138">
        <v>45343</v>
      </c>
      <c r="F125" s="140" t="s">
        <v>57</v>
      </c>
      <c r="G125" s="140" t="s">
        <v>57</v>
      </c>
      <c r="H125" s="139"/>
      <c r="I125" s="147"/>
      <c r="J125" s="147"/>
      <c r="K125" s="149"/>
      <c r="L125" s="19"/>
      <c r="M125" s="4"/>
      <c r="N125" s="1">
        <v>92</v>
      </c>
      <c r="O125" s="2" t="s">
        <v>69</v>
      </c>
      <c r="P125" s="2" t="s">
        <v>18</v>
      </c>
      <c r="Q125" s="14">
        <v>44205</v>
      </c>
      <c r="R125" s="14">
        <v>45182</v>
      </c>
      <c r="S125" s="2">
        <v>0.25021054999999998</v>
      </c>
      <c r="T125" s="2">
        <v>0.32645020000000002</v>
      </c>
      <c r="U125" s="2" t="s">
        <v>45</v>
      </c>
      <c r="V125" s="2" t="s">
        <v>45</v>
      </c>
      <c r="W125" s="2"/>
    </row>
    <row r="126" spans="1:23" x14ac:dyDescent="0.2">
      <c r="A126" s="4"/>
      <c r="B126" s="219" t="s">
        <v>79</v>
      </c>
      <c r="C126" s="17" t="s">
        <v>80</v>
      </c>
      <c r="D126" s="144">
        <v>43909</v>
      </c>
      <c r="E126" s="144">
        <v>44152</v>
      </c>
      <c r="F126" s="18">
        <v>0.89422900000000005</v>
      </c>
      <c r="G126" s="18">
        <v>0.98818419999999996</v>
      </c>
      <c r="H126" s="128">
        <f>G126-F126</f>
        <v>9.3955199999999905E-2</v>
      </c>
      <c r="I126" s="5" t="s">
        <v>43</v>
      </c>
      <c r="J126" s="5" t="s">
        <v>43</v>
      </c>
      <c r="K126" s="110" t="str">
        <f>IF(I126=J126,"T","F")</f>
        <v>T</v>
      </c>
      <c r="L126" s="19"/>
      <c r="M126" s="4"/>
      <c r="N126" s="1">
        <v>93</v>
      </c>
      <c r="O126" s="2" t="s">
        <v>69</v>
      </c>
      <c r="P126" s="2" t="s">
        <v>14</v>
      </c>
      <c r="Q126" s="14">
        <v>44208</v>
      </c>
      <c r="R126" s="14">
        <v>44763</v>
      </c>
      <c r="S126" s="2">
        <v>0.2255808</v>
      </c>
      <c r="T126" s="2">
        <v>0.41594579999999998</v>
      </c>
      <c r="U126" s="2" t="s">
        <v>43</v>
      </c>
      <c r="V126" s="2" t="s">
        <v>43</v>
      </c>
      <c r="W126" s="2" t="s">
        <v>43</v>
      </c>
    </row>
    <row r="127" spans="1:23" x14ac:dyDescent="0.2">
      <c r="A127" s="4"/>
      <c r="B127" s="219"/>
      <c r="C127" s="17" t="s">
        <v>81</v>
      </c>
      <c r="D127" s="144">
        <v>44372</v>
      </c>
      <c r="E127" s="144">
        <v>44726</v>
      </c>
      <c r="F127" s="18">
        <v>0.3744479</v>
      </c>
      <c r="G127" s="18">
        <v>0.50778880000000004</v>
      </c>
      <c r="H127" s="128">
        <f t="shared" ref="H127:H163" si="19">G127-F127</f>
        <v>0.13334090000000004</v>
      </c>
      <c r="I127" s="5" t="s">
        <v>43</v>
      </c>
      <c r="J127" s="5" t="s">
        <v>43</v>
      </c>
      <c r="K127" s="110" t="str">
        <f t="shared" ref="K127:K163" si="20">IF(I127=J127,"T","F")</f>
        <v>T</v>
      </c>
      <c r="L127" s="19"/>
      <c r="M127" s="3"/>
      <c r="N127" s="1">
        <v>94</v>
      </c>
      <c r="O127" s="2" t="s">
        <v>69</v>
      </c>
      <c r="P127" s="2" t="s">
        <v>386</v>
      </c>
      <c r="Q127" s="14">
        <v>44241</v>
      </c>
      <c r="R127" s="14">
        <v>45358</v>
      </c>
      <c r="S127" s="2">
        <v>0.21766170000000001</v>
      </c>
      <c r="T127" s="2">
        <v>0.24558749999999999</v>
      </c>
      <c r="U127" s="2" t="s">
        <v>45</v>
      </c>
      <c r="V127" s="2" t="s">
        <v>45</v>
      </c>
      <c r="W127" s="2" t="s">
        <v>43</v>
      </c>
    </row>
    <row r="128" spans="1:23" x14ac:dyDescent="0.2">
      <c r="A128" s="4"/>
      <c r="B128" s="219"/>
      <c r="C128" s="17" t="s">
        <v>20</v>
      </c>
      <c r="D128" s="144">
        <v>44531</v>
      </c>
      <c r="E128" s="144">
        <v>45503</v>
      </c>
      <c r="F128" s="18">
        <v>0.37565850000000001</v>
      </c>
      <c r="G128" s="18">
        <v>0.70568799999999998</v>
      </c>
      <c r="H128" s="128">
        <f t="shared" si="19"/>
        <v>0.33002949999999998</v>
      </c>
      <c r="I128" s="5" t="s">
        <v>45</v>
      </c>
      <c r="J128" s="5" t="s">
        <v>43</v>
      </c>
      <c r="K128" s="110" t="str">
        <f t="shared" si="20"/>
        <v>F</v>
      </c>
      <c r="L128" s="52"/>
      <c r="M128" s="3"/>
      <c r="N128" s="1">
        <v>95</v>
      </c>
      <c r="O128" s="2" t="s">
        <v>69</v>
      </c>
      <c r="P128" s="2" t="s">
        <v>9</v>
      </c>
      <c r="Q128" s="14">
        <v>44292</v>
      </c>
      <c r="R128" s="14">
        <v>44699</v>
      </c>
      <c r="S128" s="2">
        <v>0.13525696000000001</v>
      </c>
      <c r="T128" s="2">
        <v>0.22329689999999999</v>
      </c>
      <c r="U128" s="2" t="s">
        <v>43</v>
      </c>
      <c r="V128" s="2" t="s">
        <v>43</v>
      </c>
      <c r="W128" s="2" t="s">
        <v>43</v>
      </c>
    </row>
    <row r="129" spans="1:23" x14ac:dyDescent="0.2">
      <c r="A129" s="4"/>
      <c r="B129" s="219"/>
      <c r="C129" s="17" t="s">
        <v>25</v>
      </c>
      <c r="D129" s="144">
        <v>44579</v>
      </c>
      <c r="E129" s="144">
        <v>45167</v>
      </c>
      <c r="F129" s="18">
        <v>0.22436039999999999</v>
      </c>
      <c r="G129" s="18">
        <v>0.3006067</v>
      </c>
      <c r="H129" s="128">
        <f t="shared" si="19"/>
        <v>7.6246300000000017E-2</v>
      </c>
      <c r="I129" s="5" t="s">
        <v>43</v>
      </c>
      <c r="J129" s="5" t="s">
        <v>43</v>
      </c>
      <c r="K129" s="110" t="str">
        <f t="shared" si="20"/>
        <v>T</v>
      </c>
      <c r="L129" s="52"/>
      <c r="M129" s="3"/>
      <c r="N129" s="1">
        <v>96</v>
      </c>
      <c r="O129" s="2" t="s">
        <v>69</v>
      </c>
      <c r="P129" s="2" t="s">
        <v>10</v>
      </c>
      <c r="Q129" s="14">
        <v>44319</v>
      </c>
      <c r="R129" s="14">
        <v>44813</v>
      </c>
      <c r="S129" s="2">
        <v>0.19185409</v>
      </c>
      <c r="T129" s="2">
        <v>0.23919219999999999</v>
      </c>
      <c r="U129" s="2" t="s">
        <v>43</v>
      </c>
      <c r="V129" s="2" t="s">
        <v>43</v>
      </c>
      <c r="W129" s="2" t="s">
        <v>43</v>
      </c>
    </row>
    <row r="130" spans="1:23" x14ac:dyDescent="0.2">
      <c r="A130" s="4"/>
      <c r="B130" s="219"/>
      <c r="C130" s="17" t="s">
        <v>164</v>
      </c>
      <c r="D130" s="144">
        <v>44779</v>
      </c>
      <c r="E130" s="144">
        <v>45201</v>
      </c>
      <c r="F130" s="18">
        <v>0.2828735</v>
      </c>
      <c r="G130" s="18">
        <v>0.33689479999999999</v>
      </c>
      <c r="H130" s="128">
        <f t="shared" si="19"/>
        <v>5.4021299999999994E-2</v>
      </c>
      <c r="I130" s="5" t="s">
        <v>43</v>
      </c>
      <c r="J130" s="5" t="s">
        <v>43</v>
      </c>
      <c r="K130" s="110" t="str">
        <f t="shared" si="20"/>
        <v>T</v>
      </c>
      <c r="L130" s="52"/>
      <c r="M130" s="3"/>
      <c r="N130" s="1">
        <v>97</v>
      </c>
      <c r="O130" s="2" t="s">
        <v>69</v>
      </c>
      <c r="P130" s="2" t="s">
        <v>24</v>
      </c>
      <c r="Q130" s="14">
        <v>44333</v>
      </c>
      <c r="R130" s="14">
        <v>45186</v>
      </c>
      <c r="S130" s="2">
        <v>0.21196994999999999</v>
      </c>
      <c r="T130" s="2">
        <v>0.3715195</v>
      </c>
      <c r="U130" s="2" t="s">
        <v>43</v>
      </c>
      <c r="V130" s="2" t="s">
        <v>43</v>
      </c>
      <c r="W130" s="2" t="s">
        <v>43</v>
      </c>
    </row>
    <row r="131" spans="1:23" x14ac:dyDescent="0.2">
      <c r="A131" s="4"/>
      <c r="B131" s="219"/>
      <c r="C131" s="17" t="s">
        <v>32</v>
      </c>
      <c r="D131" s="144">
        <v>44943</v>
      </c>
      <c r="E131" s="144">
        <v>45520</v>
      </c>
      <c r="F131" s="18">
        <v>0.4404845</v>
      </c>
      <c r="G131" s="18">
        <v>0.75399050000000001</v>
      </c>
      <c r="H131" s="128">
        <f t="shared" si="19"/>
        <v>0.31350600000000001</v>
      </c>
      <c r="I131" s="5" t="s">
        <v>43</v>
      </c>
      <c r="J131" s="5" t="s">
        <v>43</v>
      </c>
      <c r="K131" s="110" t="str">
        <f t="shared" si="20"/>
        <v>T</v>
      </c>
      <c r="L131" s="52"/>
      <c r="M131" s="3"/>
      <c r="N131" s="1">
        <v>98</v>
      </c>
      <c r="O131" s="2" t="s">
        <v>69</v>
      </c>
      <c r="P131" s="2" t="s">
        <v>25</v>
      </c>
      <c r="Q131" s="14">
        <v>44515</v>
      </c>
      <c r="R131" s="14">
        <v>45177</v>
      </c>
      <c r="S131" s="2">
        <v>0.12763993000000001</v>
      </c>
      <c r="T131" s="2">
        <v>0.21116860000000001</v>
      </c>
      <c r="U131" s="2" t="s">
        <v>45</v>
      </c>
      <c r="V131" s="2" t="s">
        <v>43</v>
      </c>
      <c r="W131" s="2" t="s">
        <v>43</v>
      </c>
    </row>
    <row r="132" spans="1:23" x14ac:dyDescent="0.2">
      <c r="A132" s="4"/>
      <c r="B132" s="219"/>
      <c r="C132" s="17" t="s">
        <v>29</v>
      </c>
      <c r="D132" s="144">
        <v>45035</v>
      </c>
      <c r="E132" s="144">
        <v>45440</v>
      </c>
      <c r="F132" s="18">
        <v>0.19586219999999999</v>
      </c>
      <c r="G132" s="18">
        <v>0.30368060000000002</v>
      </c>
      <c r="H132" s="128">
        <f t="shared" si="19"/>
        <v>0.10781840000000004</v>
      </c>
      <c r="I132" s="5" t="s">
        <v>43</v>
      </c>
      <c r="J132" s="5" t="s">
        <v>43</v>
      </c>
      <c r="K132" s="110" t="str">
        <f t="shared" si="20"/>
        <v>T</v>
      </c>
      <c r="L132" s="52"/>
      <c r="M132" s="3"/>
      <c r="N132" s="1">
        <v>99</v>
      </c>
      <c r="O132" s="2" t="s">
        <v>69</v>
      </c>
      <c r="P132" s="2" t="s">
        <v>38</v>
      </c>
      <c r="Q132" s="14">
        <v>44612</v>
      </c>
      <c r="R132" s="14">
        <v>45317</v>
      </c>
      <c r="S132" s="2">
        <v>0.21233262999999999</v>
      </c>
      <c r="T132" s="2">
        <v>0.52871259999999998</v>
      </c>
      <c r="U132" s="2" t="s">
        <v>43</v>
      </c>
      <c r="V132" s="2" t="s">
        <v>43</v>
      </c>
      <c r="W132" s="2" t="s">
        <v>43</v>
      </c>
    </row>
    <row r="133" spans="1:23" x14ac:dyDescent="0.2">
      <c r="A133" s="4"/>
      <c r="B133" s="219"/>
      <c r="C133" s="17" t="s">
        <v>34</v>
      </c>
      <c r="D133" s="144">
        <v>45360</v>
      </c>
      <c r="E133" s="144">
        <v>45522</v>
      </c>
      <c r="F133" s="18">
        <v>0.30733440000000001</v>
      </c>
      <c r="G133" s="18">
        <v>0.47663470000000002</v>
      </c>
      <c r="H133" s="128">
        <f t="shared" si="19"/>
        <v>0.16930030000000001</v>
      </c>
      <c r="I133" s="5" t="s">
        <v>43</v>
      </c>
      <c r="J133" s="5" t="s">
        <v>43</v>
      </c>
      <c r="K133" s="110" t="str">
        <f t="shared" si="20"/>
        <v>T</v>
      </c>
      <c r="L133" s="52"/>
      <c r="M133" s="3"/>
      <c r="N133" s="1">
        <v>100</v>
      </c>
      <c r="O133" s="2" t="s">
        <v>69</v>
      </c>
      <c r="P133" s="2" t="s">
        <v>32</v>
      </c>
      <c r="Q133" s="14">
        <v>44929</v>
      </c>
      <c r="R133" s="14">
        <v>45514</v>
      </c>
      <c r="S133" s="2">
        <v>0.29738392000000002</v>
      </c>
      <c r="T133" s="2">
        <v>0.69134399999999996</v>
      </c>
      <c r="U133" s="2" t="s">
        <v>43</v>
      </c>
      <c r="V133" s="2" t="s">
        <v>43</v>
      </c>
      <c r="W133" s="2" t="s">
        <v>43</v>
      </c>
    </row>
    <row r="134" spans="1:23" x14ac:dyDescent="0.2">
      <c r="A134" s="4"/>
      <c r="B134" s="221"/>
      <c r="C134" s="137" t="s">
        <v>171</v>
      </c>
      <c r="D134" s="138">
        <v>44363</v>
      </c>
      <c r="E134" s="138">
        <v>45415</v>
      </c>
      <c r="F134" s="117" t="s">
        <v>57</v>
      </c>
      <c r="G134" s="117" t="s">
        <v>57</v>
      </c>
      <c r="H134" s="118" t="s">
        <v>57</v>
      </c>
      <c r="I134" s="119" t="s">
        <v>57</v>
      </c>
      <c r="J134" s="119" t="s">
        <v>57</v>
      </c>
      <c r="K134" s="120" t="s">
        <v>57</v>
      </c>
      <c r="L134" s="52"/>
      <c r="M134" s="3"/>
      <c r="N134" s="1">
        <v>101</v>
      </c>
      <c r="O134" s="2" t="s">
        <v>69</v>
      </c>
      <c r="P134" s="2" t="s">
        <v>165</v>
      </c>
      <c r="Q134" s="14">
        <v>44930</v>
      </c>
      <c r="R134" s="14">
        <v>45514</v>
      </c>
      <c r="S134" s="2">
        <v>0.1761123</v>
      </c>
      <c r="T134" s="2">
        <v>0.35436679999999998</v>
      </c>
      <c r="U134" s="2" t="s">
        <v>45</v>
      </c>
      <c r="V134" s="2" t="s">
        <v>43</v>
      </c>
      <c r="W134" s="2"/>
    </row>
    <row r="135" spans="1:23" x14ac:dyDescent="0.2">
      <c r="A135" s="6"/>
      <c r="B135" s="218" t="s">
        <v>48</v>
      </c>
      <c r="C135" s="121" t="s">
        <v>151</v>
      </c>
      <c r="D135" s="122">
        <v>44249</v>
      </c>
      <c r="E135" s="122">
        <v>44460</v>
      </c>
      <c r="F135" s="123">
        <v>0.3027378</v>
      </c>
      <c r="G135" s="123">
        <v>0.35219070000000002</v>
      </c>
      <c r="H135" s="148">
        <f t="shared" ref="H135:H141" si="21">G135-F135</f>
        <v>4.9452900000000022E-2</v>
      </c>
      <c r="I135" s="124" t="s">
        <v>43</v>
      </c>
      <c r="J135" s="124" t="s">
        <v>43</v>
      </c>
      <c r="K135" s="125" t="s">
        <v>150</v>
      </c>
      <c r="L135" s="4"/>
      <c r="M135" s="4"/>
      <c r="N135" s="1">
        <v>102</v>
      </c>
      <c r="O135" s="2" t="s">
        <v>69</v>
      </c>
      <c r="P135" s="2" t="s">
        <v>37</v>
      </c>
      <c r="Q135" s="14">
        <v>44962</v>
      </c>
      <c r="R135" s="14">
        <v>45286</v>
      </c>
      <c r="S135" s="2">
        <v>0.20606948</v>
      </c>
      <c r="T135" s="2">
        <v>0.20966470000000001</v>
      </c>
      <c r="U135" s="2" t="s">
        <v>43</v>
      </c>
      <c r="V135" s="2" t="s">
        <v>43</v>
      </c>
      <c r="W135" s="14"/>
    </row>
    <row r="136" spans="1:23" x14ac:dyDescent="0.2">
      <c r="A136" s="6"/>
      <c r="B136" s="219"/>
      <c r="C136" s="19" t="s">
        <v>49</v>
      </c>
      <c r="D136" s="20">
        <v>44331</v>
      </c>
      <c r="E136" s="20">
        <v>44602</v>
      </c>
      <c r="F136" s="75">
        <v>0.41191489999999997</v>
      </c>
      <c r="G136" s="75">
        <v>0.59014350000000004</v>
      </c>
      <c r="H136" s="110">
        <f t="shared" si="21"/>
        <v>0.17822860000000007</v>
      </c>
      <c r="I136" s="49" t="s">
        <v>43</v>
      </c>
      <c r="J136" s="49" t="s">
        <v>43</v>
      </c>
      <c r="K136" s="88" t="s">
        <v>150</v>
      </c>
      <c r="L136" s="4"/>
      <c r="M136" s="4"/>
      <c r="N136" s="1">
        <v>103</v>
      </c>
      <c r="O136" s="2" t="s">
        <v>72</v>
      </c>
      <c r="P136" s="2" t="s">
        <v>124</v>
      </c>
      <c r="Q136" s="14">
        <v>43941</v>
      </c>
      <c r="R136" s="14">
        <v>44543</v>
      </c>
      <c r="S136" s="2">
        <v>0.30230258999999998</v>
      </c>
      <c r="T136" s="2">
        <v>0.28358840000000002</v>
      </c>
      <c r="U136" s="2" t="s">
        <v>45</v>
      </c>
      <c r="V136" s="2" t="s">
        <v>45</v>
      </c>
      <c r="W136" s="14"/>
    </row>
    <row r="137" spans="1:23" x14ac:dyDescent="0.2">
      <c r="A137" s="6"/>
      <c r="B137" s="219"/>
      <c r="C137" s="19" t="s">
        <v>152</v>
      </c>
      <c r="D137" s="20">
        <v>44416</v>
      </c>
      <c r="E137" s="20">
        <v>44624</v>
      </c>
      <c r="F137" s="75">
        <v>0.26665699999999998</v>
      </c>
      <c r="G137" s="75">
        <v>0.44411020000000001</v>
      </c>
      <c r="H137" s="110">
        <f t="shared" si="21"/>
        <v>0.17745320000000003</v>
      </c>
      <c r="I137" s="49" t="s">
        <v>43</v>
      </c>
      <c r="J137" s="49" t="s">
        <v>43</v>
      </c>
      <c r="K137" s="88" t="s">
        <v>150</v>
      </c>
      <c r="L137" s="4"/>
      <c r="M137" s="4"/>
      <c r="N137" s="1">
        <v>104</v>
      </c>
      <c r="O137" s="2" t="s">
        <v>72</v>
      </c>
      <c r="P137" s="2" t="s">
        <v>70</v>
      </c>
      <c r="Q137" s="14">
        <v>44060</v>
      </c>
      <c r="R137" s="14">
        <v>44344</v>
      </c>
      <c r="S137" s="2">
        <v>0.23440949</v>
      </c>
      <c r="T137" s="2">
        <v>0.32807150000000002</v>
      </c>
      <c r="U137" s="2" t="s">
        <v>45</v>
      </c>
      <c r="V137" s="2" t="s">
        <v>45</v>
      </c>
    </row>
    <row r="138" spans="1:23" x14ac:dyDescent="0.2">
      <c r="A138" s="6"/>
      <c r="B138" s="219"/>
      <c r="C138" s="19" t="s">
        <v>22</v>
      </c>
      <c r="D138" s="20">
        <v>44559</v>
      </c>
      <c r="E138" s="20">
        <v>45000</v>
      </c>
      <c r="F138" s="75">
        <v>0.26334679999999999</v>
      </c>
      <c r="G138" s="75">
        <v>0.330262</v>
      </c>
      <c r="H138" s="110">
        <f t="shared" si="21"/>
        <v>6.6915200000000008E-2</v>
      </c>
      <c r="I138" s="49" t="s">
        <v>43</v>
      </c>
      <c r="J138" s="49" t="s">
        <v>43</v>
      </c>
      <c r="K138" s="88" t="s">
        <v>150</v>
      </c>
      <c r="L138" s="4"/>
      <c r="M138" s="4"/>
      <c r="N138" s="1">
        <v>105</v>
      </c>
      <c r="O138" s="2" t="s">
        <v>72</v>
      </c>
      <c r="P138" s="2" t="s">
        <v>10</v>
      </c>
      <c r="Q138" s="14">
        <v>44154</v>
      </c>
      <c r="R138" s="14">
        <v>44641</v>
      </c>
      <c r="S138" s="2">
        <v>0.1998586</v>
      </c>
      <c r="T138" s="2">
        <v>0.25985530000000001</v>
      </c>
      <c r="U138" s="2" t="s">
        <v>43</v>
      </c>
      <c r="V138" s="2" t="s">
        <v>43</v>
      </c>
    </row>
    <row r="139" spans="1:23" x14ac:dyDescent="0.2">
      <c r="A139" s="6"/>
      <c r="B139" s="219"/>
      <c r="C139" s="19" t="s">
        <v>25</v>
      </c>
      <c r="D139" s="20">
        <v>44692</v>
      </c>
      <c r="E139" s="20">
        <v>45313</v>
      </c>
      <c r="F139" s="75">
        <v>0.21752830000000001</v>
      </c>
      <c r="G139" s="75">
        <v>0.35795769999999999</v>
      </c>
      <c r="H139" s="110">
        <f t="shared" si="21"/>
        <v>0.14042939999999998</v>
      </c>
      <c r="I139" s="49" t="s">
        <v>43</v>
      </c>
      <c r="J139" s="49" t="s">
        <v>43</v>
      </c>
      <c r="K139" s="88" t="s">
        <v>150</v>
      </c>
      <c r="L139" s="4"/>
      <c r="M139" s="4"/>
      <c r="N139" s="1">
        <v>106</v>
      </c>
      <c r="O139" s="2" t="s">
        <v>72</v>
      </c>
      <c r="P139" s="2" t="s">
        <v>20</v>
      </c>
      <c r="Q139" s="14">
        <v>44280</v>
      </c>
      <c r="R139" s="14">
        <v>45383</v>
      </c>
      <c r="S139" s="2">
        <v>0.41762706999999999</v>
      </c>
      <c r="T139" s="2">
        <v>0.68839720000000004</v>
      </c>
      <c r="U139" s="2" t="s">
        <v>43</v>
      </c>
      <c r="V139" s="2" t="s">
        <v>43</v>
      </c>
    </row>
    <row r="140" spans="1:23" x14ac:dyDescent="0.2">
      <c r="A140" s="6"/>
      <c r="B140" s="219"/>
      <c r="C140" s="19" t="s">
        <v>30</v>
      </c>
      <c r="D140" s="20">
        <v>45111</v>
      </c>
      <c r="E140" s="20">
        <v>45397</v>
      </c>
      <c r="F140" s="75">
        <v>0.31032290000000001</v>
      </c>
      <c r="G140" s="75">
        <v>0.594059</v>
      </c>
      <c r="H140" s="110">
        <f t="shared" si="21"/>
        <v>0.28373609999999999</v>
      </c>
      <c r="I140" s="49" t="s">
        <v>43</v>
      </c>
      <c r="J140" s="49" t="s">
        <v>43</v>
      </c>
      <c r="K140" s="88" t="s">
        <v>150</v>
      </c>
      <c r="L140" s="4"/>
      <c r="M140" s="4"/>
      <c r="N140" s="1">
        <v>107</v>
      </c>
      <c r="O140" s="2" t="s">
        <v>72</v>
      </c>
      <c r="P140" s="2" t="s">
        <v>368</v>
      </c>
      <c r="Q140" s="14">
        <v>44305</v>
      </c>
      <c r="R140" s="14">
        <v>44445</v>
      </c>
      <c r="S140" s="2">
        <v>0.12809224</v>
      </c>
      <c r="T140" s="2">
        <v>0.21656359999999999</v>
      </c>
      <c r="U140" s="2" t="s">
        <v>45</v>
      </c>
      <c r="V140" s="2" t="s">
        <v>45</v>
      </c>
    </row>
    <row r="141" spans="1:23" x14ac:dyDescent="0.2">
      <c r="A141" s="6"/>
      <c r="B141" s="219"/>
      <c r="C141" s="19" t="s">
        <v>32</v>
      </c>
      <c r="D141" s="20">
        <v>45223</v>
      </c>
      <c r="E141" s="20">
        <v>45410</v>
      </c>
      <c r="F141" s="75">
        <v>0.30824649999999998</v>
      </c>
      <c r="G141" s="75">
        <v>0.53417760000000003</v>
      </c>
      <c r="H141" s="110">
        <f t="shared" si="21"/>
        <v>0.22593110000000005</v>
      </c>
      <c r="I141" s="49" t="s">
        <v>43</v>
      </c>
      <c r="J141" s="49" t="s">
        <v>43</v>
      </c>
      <c r="K141" s="88" t="s">
        <v>150</v>
      </c>
      <c r="L141" s="4"/>
      <c r="M141" s="4"/>
      <c r="N141" s="1">
        <v>108</v>
      </c>
      <c r="O141" s="2" t="s">
        <v>72</v>
      </c>
      <c r="P141" s="2" t="s">
        <v>13</v>
      </c>
      <c r="Q141" s="14">
        <v>44344</v>
      </c>
      <c r="R141" s="14">
        <v>44599</v>
      </c>
      <c r="S141" s="2">
        <v>0.15796241999999999</v>
      </c>
      <c r="T141" s="2">
        <v>0.2181332</v>
      </c>
      <c r="U141" s="2" t="s">
        <v>43</v>
      </c>
      <c r="V141" s="2" t="s">
        <v>43</v>
      </c>
    </row>
    <row r="142" spans="1:23" x14ac:dyDescent="0.2">
      <c r="A142" s="6"/>
      <c r="B142" s="221"/>
      <c r="C142" s="115" t="s">
        <v>62</v>
      </c>
      <c r="D142" s="126">
        <v>44236</v>
      </c>
      <c r="E142" s="126">
        <v>45219</v>
      </c>
      <c r="F142" s="117" t="s">
        <v>57</v>
      </c>
      <c r="G142" s="117" t="s">
        <v>57</v>
      </c>
      <c r="H142" s="149" t="s">
        <v>57</v>
      </c>
      <c r="I142" s="127" t="s">
        <v>57</v>
      </c>
      <c r="J142" s="127" t="s">
        <v>57</v>
      </c>
      <c r="K142" s="120" t="s">
        <v>57</v>
      </c>
      <c r="L142" s="4"/>
      <c r="M142" s="4"/>
      <c r="N142" s="1">
        <v>109</v>
      </c>
      <c r="O142" s="2" t="s">
        <v>72</v>
      </c>
      <c r="P142" s="2" t="s">
        <v>14</v>
      </c>
      <c r="Q142" s="14">
        <v>44369</v>
      </c>
      <c r="R142" s="14">
        <v>44613</v>
      </c>
      <c r="S142" s="2">
        <v>0.15058432999999999</v>
      </c>
      <c r="T142" s="2">
        <v>0.21032290000000001</v>
      </c>
      <c r="U142" s="2" t="s">
        <v>45</v>
      </c>
      <c r="V142" s="2" t="s">
        <v>43</v>
      </c>
    </row>
    <row r="143" spans="1:23" x14ac:dyDescent="0.2">
      <c r="A143" s="3"/>
      <c r="B143" s="218" t="s">
        <v>82</v>
      </c>
      <c r="C143" s="135" t="s">
        <v>166</v>
      </c>
      <c r="D143" s="143">
        <v>43948</v>
      </c>
      <c r="E143" s="143">
        <v>44536</v>
      </c>
      <c r="F143" s="145">
        <v>0.17078670000000001</v>
      </c>
      <c r="G143" s="145">
        <v>0.37802930000000001</v>
      </c>
      <c r="H143" s="136">
        <f t="shared" ref="H143:H150" si="22">G143-F143</f>
        <v>0.2072426</v>
      </c>
      <c r="I143" s="146" t="s">
        <v>45</v>
      </c>
      <c r="J143" s="146" t="s">
        <v>43</v>
      </c>
      <c r="K143" s="148" t="str">
        <f t="shared" ref="K143:K150" si="23">IF(I143=J143,"T","F")</f>
        <v>F</v>
      </c>
      <c r="L143" s="19"/>
      <c r="M143" s="4"/>
      <c r="N143" s="1">
        <v>110</v>
      </c>
      <c r="O143" s="2" t="s">
        <v>72</v>
      </c>
      <c r="P143" s="2" t="s">
        <v>17</v>
      </c>
      <c r="Q143" s="14">
        <v>44529</v>
      </c>
      <c r="R143" s="14">
        <v>45125</v>
      </c>
      <c r="S143" s="2">
        <v>0.15688845000000001</v>
      </c>
      <c r="T143" s="2">
        <v>0.25093300000000002</v>
      </c>
      <c r="U143" s="2" t="s">
        <v>45</v>
      </c>
      <c r="V143" s="2" t="s">
        <v>45</v>
      </c>
      <c r="W143" s="2" t="s">
        <v>43</v>
      </c>
    </row>
    <row r="144" spans="1:23" x14ac:dyDescent="0.2">
      <c r="A144" s="4"/>
      <c r="B144" s="219"/>
      <c r="C144" s="17" t="s">
        <v>167</v>
      </c>
      <c r="D144" s="144">
        <v>43948</v>
      </c>
      <c r="E144" s="144">
        <v>44751</v>
      </c>
      <c r="F144" s="18">
        <v>0.19609480000000001</v>
      </c>
      <c r="G144" s="18">
        <v>0.40431400000000001</v>
      </c>
      <c r="H144" s="128">
        <f t="shared" si="22"/>
        <v>0.20821919999999999</v>
      </c>
      <c r="I144" s="5" t="s">
        <v>45</v>
      </c>
      <c r="J144" s="5" t="s">
        <v>43</v>
      </c>
      <c r="K144" s="110" t="str">
        <f t="shared" si="23"/>
        <v>F</v>
      </c>
      <c r="L144" s="19"/>
      <c r="M144" s="4"/>
      <c r="N144" s="1">
        <v>111</v>
      </c>
      <c r="O144" s="2" t="s">
        <v>72</v>
      </c>
      <c r="P144" s="2" t="s">
        <v>18</v>
      </c>
      <c r="Q144" s="14">
        <v>44531</v>
      </c>
      <c r="R144" s="14">
        <v>45088</v>
      </c>
      <c r="S144" s="2">
        <v>0.18278386999999999</v>
      </c>
      <c r="T144" s="2">
        <v>0.23508799999999999</v>
      </c>
      <c r="U144" s="2" t="s">
        <v>45</v>
      </c>
      <c r="V144" s="2" t="s">
        <v>45</v>
      </c>
      <c r="W144" s="2" t="s">
        <v>43</v>
      </c>
    </row>
    <row r="145" spans="1:23" x14ac:dyDescent="0.2">
      <c r="A145" s="3"/>
      <c r="B145" s="219"/>
      <c r="C145" s="17" t="s">
        <v>9</v>
      </c>
      <c r="D145" s="144">
        <v>43952</v>
      </c>
      <c r="E145" s="144">
        <v>44935</v>
      </c>
      <c r="F145" s="18">
        <v>0.60682939999999996</v>
      </c>
      <c r="G145" s="18">
        <v>0.86927529999999997</v>
      </c>
      <c r="H145" s="128">
        <f t="shared" si="22"/>
        <v>0.26244590000000001</v>
      </c>
      <c r="I145" s="5" t="s">
        <v>43</v>
      </c>
      <c r="J145" s="5" t="s">
        <v>43</v>
      </c>
      <c r="K145" s="110" t="str">
        <f t="shared" si="23"/>
        <v>T</v>
      </c>
      <c r="L145" s="19"/>
      <c r="M145" s="4"/>
      <c r="N145" s="1">
        <v>112</v>
      </c>
      <c r="O145" s="2" t="s">
        <v>72</v>
      </c>
      <c r="P145" s="2" t="s">
        <v>23</v>
      </c>
      <c r="Q145" s="14">
        <v>44544</v>
      </c>
      <c r="R145" s="14">
        <v>45272</v>
      </c>
      <c r="S145" s="2">
        <v>0.19406496000000001</v>
      </c>
      <c r="T145" s="2">
        <v>0.30590270000000003</v>
      </c>
      <c r="U145" s="2" t="s">
        <v>43</v>
      </c>
      <c r="V145" s="2" t="s">
        <v>43</v>
      </c>
      <c r="W145" s="2" t="s">
        <v>43</v>
      </c>
    </row>
    <row r="146" spans="1:23" x14ac:dyDescent="0.2">
      <c r="A146" s="3"/>
      <c r="B146" s="219"/>
      <c r="C146" s="17" t="s">
        <v>20</v>
      </c>
      <c r="D146" s="144">
        <v>44044</v>
      </c>
      <c r="E146" s="144">
        <v>45301</v>
      </c>
      <c r="F146" s="18">
        <v>0.62927480000000002</v>
      </c>
      <c r="G146" s="18">
        <v>0.72374349999999998</v>
      </c>
      <c r="H146" s="128">
        <f t="shared" si="22"/>
        <v>9.4468699999999961E-2</v>
      </c>
      <c r="I146" s="5" t="s">
        <v>43</v>
      </c>
      <c r="J146" s="5" t="s">
        <v>43</v>
      </c>
      <c r="K146" s="110" t="str">
        <f t="shared" si="23"/>
        <v>T</v>
      </c>
      <c r="L146" s="19"/>
      <c r="M146" s="4"/>
      <c r="N146" s="1">
        <v>113</v>
      </c>
      <c r="O146" s="2" t="s">
        <v>72</v>
      </c>
      <c r="P146" s="2" t="s">
        <v>28</v>
      </c>
      <c r="Q146" s="14">
        <v>44572</v>
      </c>
      <c r="R146" s="14">
        <v>45300</v>
      </c>
      <c r="S146" s="2">
        <v>0.20741962</v>
      </c>
      <c r="T146" s="2">
        <v>0.36234250000000001</v>
      </c>
      <c r="U146" s="2" t="s">
        <v>43</v>
      </c>
      <c r="V146" s="2" t="s">
        <v>43</v>
      </c>
      <c r="W146" s="2" t="s">
        <v>43</v>
      </c>
    </row>
    <row r="147" spans="1:23" x14ac:dyDescent="0.2">
      <c r="A147" s="3"/>
      <c r="B147" s="219"/>
      <c r="C147" s="17" t="s">
        <v>21</v>
      </c>
      <c r="D147" s="144">
        <v>44446</v>
      </c>
      <c r="E147" s="144">
        <v>45035</v>
      </c>
      <c r="F147" s="18">
        <v>0.39448339999999998</v>
      </c>
      <c r="G147" s="18">
        <v>0.47317749999999997</v>
      </c>
      <c r="H147" s="128">
        <f t="shared" si="22"/>
        <v>7.8694099999999989E-2</v>
      </c>
      <c r="I147" s="5" t="s">
        <v>43</v>
      </c>
      <c r="J147" s="5" t="s">
        <v>43</v>
      </c>
      <c r="K147" s="110" t="str">
        <f t="shared" si="23"/>
        <v>T</v>
      </c>
      <c r="L147" s="19"/>
      <c r="M147" s="4"/>
      <c r="N147" s="1">
        <v>114</v>
      </c>
      <c r="O147" s="2" t="s">
        <v>72</v>
      </c>
      <c r="P147" s="2" t="s">
        <v>25</v>
      </c>
      <c r="Q147" s="14">
        <v>44678</v>
      </c>
      <c r="R147" s="14">
        <v>45432</v>
      </c>
      <c r="S147" s="2">
        <v>0.18359774000000001</v>
      </c>
      <c r="T147" s="2">
        <v>0.24649660000000001</v>
      </c>
      <c r="U147" s="2" t="s">
        <v>43</v>
      </c>
      <c r="V147" s="2" t="s">
        <v>43</v>
      </c>
      <c r="W147" s="2" t="s">
        <v>43</v>
      </c>
    </row>
    <row r="148" spans="1:23" x14ac:dyDescent="0.2">
      <c r="A148" s="3"/>
      <c r="B148" s="219"/>
      <c r="C148" s="17" t="s">
        <v>84</v>
      </c>
      <c r="D148" s="144">
        <v>44568</v>
      </c>
      <c r="E148" s="144">
        <v>44840</v>
      </c>
      <c r="F148" s="18">
        <v>0.27372839999999998</v>
      </c>
      <c r="G148" s="18">
        <v>0.4434187</v>
      </c>
      <c r="H148" s="128">
        <f t="shared" si="22"/>
        <v>0.16969030000000002</v>
      </c>
      <c r="I148" s="5" t="s">
        <v>43</v>
      </c>
      <c r="J148" s="5" t="s">
        <v>43</v>
      </c>
      <c r="K148" s="110" t="str">
        <f t="shared" si="23"/>
        <v>T</v>
      </c>
      <c r="L148" s="19"/>
      <c r="M148" s="4"/>
      <c r="N148" s="1">
        <v>115</v>
      </c>
      <c r="O148" s="2" t="s">
        <v>72</v>
      </c>
      <c r="P148" s="2" t="s">
        <v>24</v>
      </c>
      <c r="Q148" s="14">
        <v>44685</v>
      </c>
      <c r="R148" s="14">
        <v>45115</v>
      </c>
      <c r="S148" s="2">
        <v>0.18890768999999999</v>
      </c>
      <c r="T148" s="2">
        <v>0.30418790000000001</v>
      </c>
      <c r="U148" s="2" t="s">
        <v>43</v>
      </c>
      <c r="V148" s="2" t="s">
        <v>43</v>
      </c>
      <c r="W148" s="2" t="s">
        <v>43</v>
      </c>
    </row>
    <row r="149" spans="1:23" x14ac:dyDescent="0.2">
      <c r="A149" s="3"/>
      <c r="B149" s="219"/>
      <c r="C149" s="17" t="s">
        <v>85</v>
      </c>
      <c r="D149" s="144">
        <v>44569</v>
      </c>
      <c r="E149" s="144">
        <v>45267</v>
      </c>
      <c r="F149" s="18">
        <v>0.43550800000000001</v>
      </c>
      <c r="G149" s="18">
        <v>0.74808770000000002</v>
      </c>
      <c r="H149" s="128">
        <f t="shared" si="22"/>
        <v>0.31257970000000002</v>
      </c>
      <c r="I149" s="5" t="s">
        <v>43</v>
      </c>
      <c r="J149" s="5" t="s">
        <v>43</v>
      </c>
      <c r="K149" s="110" t="str">
        <f t="shared" si="23"/>
        <v>T</v>
      </c>
      <c r="L149" s="19"/>
      <c r="M149" s="4"/>
      <c r="N149" s="1">
        <v>116</v>
      </c>
      <c r="O149" s="2" t="s">
        <v>72</v>
      </c>
      <c r="P149" s="2" t="s">
        <v>38</v>
      </c>
      <c r="Q149" s="14">
        <v>44889</v>
      </c>
      <c r="R149" s="14">
        <v>45417</v>
      </c>
      <c r="S149" s="2">
        <v>0.24142638999999999</v>
      </c>
      <c r="T149" s="2">
        <v>0.51362949999999996</v>
      </c>
      <c r="U149" s="2" t="s">
        <v>43</v>
      </c>
      <c r="V149" s="2" t="s">
        <v>43</v>
      </c>
      <c r="W149" s="2" t="s">
        <v>43</v>
      </c>
    </row>
    <row r="150" spans="1:23" x14ac:dyDescent="0.2">
      <c r="A150" s="3"/>
      <c r="B150" s="219"/>
      <c r="C150" s="17" t="s">
        <v>37</v>
      </c>
      <c r="D150" s="144">
        <v>44930</v>
      </c>
      <c r="E150" s="144">
        <v>45299</v>
      </c>
      <c r="F150" s="18">
        <v>0.42590299999999998</v>
      </c>
      <c r="G150" s="18">
        <v>0.59565670000000004</v>
      </c>
      <c r="H150" s="128">
        <f t="shared" si="22"/>
        <v>0.16975370000000006</v>
      </c>
      <c r="I150" s="5" t="s">
        <v>43</v>
      </c>
      <c r="J150" s="5" t="s">
        <v>43</v>
      </c>
      <c r="K150" s="110" t="str">
        <f t="shared" si="23"/>
        <v>T</v>
      </c>
      <c r="L150" s="19"/>
      <c r="M150" s="4"/>
      <c r="N150" s="1">
        <v>117</v>
      </c>
      <c r="O150" s="2" t="s">
        <v>72</v>
      </c>
      <c r="P150" s="2" t="s">
        <v>32</v>
      </c>
      <c r="Q150" s="14">
        <v>44928</v>
      </c>
      <c r="R150" s="14">
        <v>45522</v>
      </c>
      <c r="S150" s="2">
        <v>0.23598308000000001</v>
      </c>
      <c r="T150" s="2">
        <v>0.64123629999999998</v>
      </c>
      <c r="U150" s="2" t="s">
        <v>43</v>
      </c>
      <c r="V150" s="2" t="s">
        <v>43</v>
      </c>
      <c r="W150" s="2" t="s">
        <v>43</v>
      </c>
    </row>
    <row r="151" spans="1:23" x14ac:dyDescent="0.2">
      <c r="A151" s="3"/>
      <c r="B151" s="221"/>
      <c r="C151" s="137" t="s">
        <v>114</v>
      </c>
      <c r="D151" s="138">
        <v>43964</v>
      </c>
      <c r="E151" s="138">
        <v>45139</v>
      </c>
      <c r="F151" s="140" t="s">
        <v>57</v>
      </c>
      <c r="G151" s="140" t="s">
        <v>57</v>
      </c>
      <c r="H151" s="139"/>
      <c r="I151" s="147"/>
      <c r="J151" s="147"/>
      <c r="K151" s="149"/>
      <c r="L151" s="19"/>
      <c r="M151" s="4"/>
      <c r="N151" s="1">
        <v>118</v>
      </c>
      <c r="O151" s="2" t="s">
        <v>72</v>
      </c>
      <c r="P151" s="2" t="s">
        <v>33</v>
      </c>
      <c r="Q151" s="14">
        <v>45231</v>
      </c>
      <c r="R151" s="14">
        <v>45520</v>
      </c>
      <c r="S151" s="2">
        <v>0.19521844999999999</v>
      </c>
      <c r="T151" s="2">
        <v>0.27712589999999998</v>
      </c>
      <c r="U151" s="2" t="s">
        <v>43</v>
      </c>
      <c r="V151" s="2" t="s">
        <v>43</v>
      </c>
      <c r="W151" s="2"/>
    </row>
    <row r="152" spans="1:23" x14ac:dyDescent="0.2">
      <c r="A152" s="3"/>
      <c r="B152" s="218" t="s">
        <v>86</v>
      </c>
      <c r="C152" s="135" t="s">
        <v>36</v>
      </c>
      <c r="D152" s="143">
        <v>43896</v>
      </c>
      <c r="E152" s="143">
        <v>44628</v>
      </c>
      <c r="F152" s="145">
        <v>0.59599959999999996</v>
      </c>
      <c r="G152" s="145">
        <v>0.82738920000000005</v>
      </c>
      <c r="H152" s="136">
        <f t="shared" ref="H152:H158" si="24">G152-F152</f>
        <v>0.23138960000000008</v>
      </c>
      <c r="I152" s="146" t="s">
        <v>43</v>
      </c>
      <c r="J152" s="146" t="s">
        <v>43</v>
      </c>
      <c r="K152" s="148" t="str">
        <f t="shared" ref="K152:K158" si="25">IF(I152=J152,"T","F")</f>
        <v>T</v>
      </c>
      <c r="L152" s="19"/>
      <c r="M152" s="4"/>
      <c r="N152" s="1">
        <v>119</v>
      </c>
      <c r="O152" s="2" t="s">
        <v>73</v>
      </c>
      <c r="P152" s="2" t="s">
        <v>15</v>
      </c>
      <c r="Q152" s="14">
        <v>43892</v>
      </c>
      <c r="R152" s="14">
        <v>45002</v>
      </c>
      <c r="S152" s="2">
        <v>0.25443812999999998</v>
      </c>
      <c r="T152" s="2">
        <v>0.48789549999999998</v>
      </c>
      <c r="U152" s="2" t="s">
        <v>43</v>
      </c>
      <c r="V152" s="2" t="s">
        <v>43</v>
      </c>
      <c r="W152" s="2" t="s">
        <v>43</v>
      </c>
    </row>
    <row r="153" spans="1:23" x14ac:dyDescent="0.2">
      <c r="A153" s="3"/>
      <c r="B153" s="219"/>
      <c r="C153" s="17" t="s">
        <v>24</v>
      </c>
      <c r="D153" s="144">
        <v>44032</v>
      </c>
      <c r="E153" s="144">
        <v>45156</v>
      </c>
      <c r="F153" s="18">
        <v>0.24655199999999999</v>
      </c>
      <c r="G153" s="18">
        <v>0.35681010000000002</v>
      </c>
      <c r="H153" s="128">
        <f t="shared" si="24"/>
        <v>0.11025810000000003</v>
      </c>
      <c r="I153" s="5" t="s">
        <v>43</v>
      </c>
      <c r="J153" s="5" t="s">
        <v>43</v>
      </c>
      <c r="K153" s="110" t="str">
        <f t="shared" si="25"/>
        <v>T</v>
      </c>
      <c r="L153" s="19"/>
      <c r="M153" s="4"/>
      <c r="N153" s="1">
        <v>120</v>
      </c>
      <c r="O153" s="2" t="s">
        <v>73</v>
      </c>
      <c r="P153" s="2" t="s">
        <v>369</v>
      </c>
      <c r="Q153" s="14">
        <v>43892</v>
      </c>
      <c r="R153" s="14">
        <v>44692</v>
      </c>
      <c r="S153" s="2">
        <v>0.58312512000000005</v>
      </c>
      <c r="T153" s="2">
        <v>0.92945809999999995</v>
      </c>
      <c r="U153" s="2" t="s">
        <v>43</v>
      </c>
      <c r="V153" s="2" t="s">
        <v>43</v>
      </c>
      <c r="W153" s="2" t="s">
        <v>43</v>
      </c>
    </row>
    <row r="154" spans="1:23" x14ac:dyDescent="0.2">
      <c r="A154" s="4"/>
      <c r="B154" s="219"/>
      <c r="C154" s="17" t="s">
        <v>20</v>
      </c>
      <c r="D154" s="144">
        <v>44034</v>
      </c>
      <c r="E154" s="144">
        <v>45311</v>
      </c>
      <c r="F154" s="18">
        <v>0.42681789999999997</v>
      </c>
      <c r="G154" s="18">
        <v>0.74360130000000002</v>
      </c>
      <c r="H154" s="128">
        <f t="shared" si="24"/>
        <v>0.31678340000000005</v>
      </c>
      <c r="I154" s="5" t="s">
        <v>43</v>
      </c>
      <c r="J154" s="5" t="s">
        <v>43</v>
      </c>
      <c r="K154" s="110" t="str">
        <f t="shared" si="25"/>
        <v>T</v>
      </c>
      <c r="L154" s="19"/>
      <c r="M154" s="4"/>
      <c r="N154" s="1">
        <v>121</v>
      </c>
      <c r="O154" s="2" t="s">
        <v>73</v>
      </c>
      <c r="P154" s="2" t="s">
        <v>370</v>
      </c>
      <c r="Q154" s="14">
        <v>43946</v>
      </c>
      <c r="R154" s="14">
        <v>44119</v>
      </c>
      <c r="S154" s="2">
        <v>0.21309522</v>
      </c>
      <c r="T154" s="2">
        <v>0.30725619999999998</v>
      </c>
      <c r="U154" s="2" t="s">
        <v>45</v>
      </c>
      <c r="V154" s="2" t="s">
        <v>45</v>
      </c>
      <c r="W154" s="2" t="s">
        <v>43</v>
      </c>
    </row>
    <row r="155" spans="1:23" x14ac:dyDescent="0.2">
      <c r="A155" s="3"/>
      <c r="B155" s="219"/>
      <c r="C155" s="17" t="s">
        <v>18</v>
      </c>
      <c r="D155" s="144">
        <v>44199</v>
      </c>
      <c r="E155" s="144">
        <v>45119</v>
      </c>
      <c r="F155" s="18">
        <v>0.3027378</v>
      </c>
      <c r="G155" s="18">
        <v>0.42736449999999998</v>
      </c>
      <c r="H155" s="128">
        <f t="shared" si="24"/>
        <v>0.12462669999999998</v>
      </c>
      <c r="I155" s="5" t="s">
        <v>43</v>
      </c>
      <c r="J155" s="5" t="s">
        <v>43</v>
      </c>
      <c r="K155" s="110" t="str">
        <f t="shared" si="25"/>
        <v>T</v>
      </c>
      <c r="L155" s="19"/>
      <c r="M155" s="4"/>
      <c r="N155" s="1">
        <v>122</v>
      </c>
      <c r="O155" s="2" t="s">
        <v>73</v>
      </c>
      <c r="P155" s="2" t="s">
        <v>19</v>
      </c>
      <c r="Q155" s="14">
        <v>44141</v>
      </c>
      <c r="R155" s="14">
        <v>45154</v>
      </c>
      <c r="S155" s="2">
        <v>0.12267226000000001</v>
      </c>
      <c r="T155" s="2">
        <v>0.49371150000000003</v>
      </c>
      <c r="U155" s="2" t="s">
        <v>45</v>
      </c>
      <c r="V155" s="2" t="s">
        <v>43</v>
      </c>
      <c r="W155" s="2" t="s">
        <v>43</v>
      </c>
    </row>
    <row r="156" spans="1:23" x14ac:dyDescent="0.2">
      <c r="A156" s="3"/>
      <c r="B156" s="219"/>
      <c r="C156" s="17" t="s">
        <v>28</v>
      </c>
      <c r="D156" s="144">
        <v>44568</v>
      </c>
      <c r="E156" s="144">
        <v>45276</v>
      </c>
      <c r="F156" s="18">
        <v>0.35875170000000001</v>
      </c>
      <c r="G156" s="18">
        <v>0.55192149999999995</v>
      </c>
      <c r="H156" s="128">
        <f t="shared" si="24"/>
        <v>0.19316979999999995</v>
      </c>
      <c r="I156" s="5" t="s">
        <v>43</v>
      </c>
      <c r="J156" s="5" t="s">
        <v>43</v>
      </c>
      <c r="K156" s="110" t="str">
        <f t="shared" si="25"/>
        <v>T</v>
      </c>
      <c r="L156" s="19"/>
      <c r="M156" s="4"/>
      <c r="N156" s="1">
        <v>123</v>
      </c>
      <c r="O156" s="2" t="s">
        <v>73</v>
      </c>
      <c r="P156" s="2" t="s">
        <v>13</v>
      </c>
      <c r="Q156" s="14">
        <v>44148</v>
      </c>
      <c r="R156" s="14">
        <v>44979</v>
      </c>
      <c r="S156" s="2">
        <v>0.22049679999999999</v>
      </c>
      <c r="T156" s="2">
        <v>0.22303919999999999</v>
      </c>
      <c r="U156" s="2" t="s">
        <v>43</v>
      </c>
      <c r="V156" s="2" t="s">
        <v>43</v>
      </c>
      <c r="W156" s="2" t="s">
        <v>43</v>
      </c>
    </row>
    <row r="157" spans="1:23" x14ac:dyDescent="0.2">
      <c r="A157" s="3"/>
      <c r="B157" s="219"/>
      <c r="C157" s="17" t="s">
        <v>38</v>
      </c>
      <c r="D157" s="144">
        <v>44611</v>
      </c>
      <c r="E157" s="144">
        <v>45303</v>
      </c>
      <c r="F157" s="18">
        <v>0.222633</v>
      </c>
      <c r="G157" s="18">
        <v>0.46199869999999998</v>
      </c>
      <c r="H157" s="128">
        <f t="shared" si="24"/>
        <v>0.23936569999999999</v>
      </c>
      <c r="I157" s="5" t="s">
        <v>43</v>
      </c>
      <c r="J157" s="5" t="s">
        <v>43</v>
      </c>
      <c r="K157" s="110" t="str">
        <f t="shared" si="25"/>
        <v>T</v>
      </c>
      <c r="L157" s="19"/>
      <c r="M157" s="4"/>
      <c r="N157" s="1">
        <v>124</v>
      </c>
      <c r="O157" s="2" t="s">
        <v>73</v>
      </c>
      <c r="P157" s="2" t="s">
        <v>14</v>
      </c>
      <c r="Q157" s="14">
        <v>44155</v>
      </c>
      <c r="R157" s="14">
        <v>44912</v>
      </c>
      <c r="S157" s="2">
        <v>0.26479194</v>
      </c>
      <c r="T157" s="2">
        <v>0.46669159999999998</v>
      </c>
      <c r="U157" s="2" t="s">
        <v>43</v>
      </c>
      <c r="V157" s="2" t="s">
        <v>43</v>
      </c>
      <c r="W157" s="2" t="s">
        <v>43</v>
      </c>
    </row>
    <row r="158" spans="1:23" x14ac:dyDescent="0.2">
      <c r="A158" s="3"/>
      <c r="B158" s="219"/>
      <c r="C158" s="17" t="s">
        <v>29</v>
      </c>
      <c r="D158" s="144">
        <v>44957</v>
      </c>
      <c r="E158" s="144">
        <v>45309</v>
      </c>
      <c r="F158" s="18">
        <v>0.1989639</v>
      </c>
      <c r="G158" s="18">
        <v>0.32059199999999999</v>
      </c>
      <c r="H158" s="128">
        <f t="shared" si="24"/>
        <v>0.12162809999999999</v>
      </c>
      <c r="I158" s="5" t="s">
        <v>43</v>
      </c>
      <c r="J158" s="5" t="s">
        <v>43</v>
      </c>
      <c r="K158" s="110" t="str">
        <f t="shared" si="25"/>
        <v>T</v>
      </c>
      <c r="L158" s="19"/>
      <c r="M158" s="4"/>
      <c r="N158" s="1">
        <v>125</v>
      </c>
      <c r="O158" s="2" t="s">
        <v>73</v>
      </c>
      <c r="P158" s="2" t="s">
        <v>18</v>
      </c>
      <c r="Q158" s="14">
        <v>44218</v>
      </c>
      <c r="R158" s="14">
        <v>45003</v>
      </c>
      <c r="S158" s="2">
        <v>0.11126161</v>
      </c>
      <c r="T158" s="2">
        <v>0.24070949999999999</v>
      </c>
      <c r="U158" s="2" t="s">
        <v>45</v>
      </c>
      <c r="V158" s="2" t="s">
        <v>45</v>
      </c>
      <c r="W158" s="2" t="s">
        <v>43</v>
      </c>
    </row>
    <row r="159" spans="1:23" x14ac:dyDescent="0.2">
      <c r="A159" s="3"/>
      <c r="B159" s="221"/>
      <c r="C159" s="137" t="s">
        <v>173</v>
      </c>
      <c r="D159" s="138">
        <v>44032</v>
      </c>
      <c r="E159" s="138">
        <v>45306</v>
      </c>
      <c r="F159" s="140" t="s">
        <v>57</v>
      </c>
      <c r="G159" s="140" t="s">
        <v>57</v>
      </c>
      <c r="H159" s="139"/>
      <c r="I159" s="147"/>
      <c r="J159" s="147"/>
      <c r="K159" s="149"/>
      <c r="L159" s="19"/>
      <c r="M159" s="4"/>
      <c r="N159" s="1">
        <v>126</v>
      </c>
      <c r="O159" s="2" t="s">
        <v>73</v>
      </c>
      <c r="P159" s="2" t="s">
        <v>20</v>
      </c>
      <c r="Q159" s="14">
        <v>44242</v>
      </c>
      <c r="R159" s="14">
        <v>45492</v>
      </c>
      <c r="S159" s="2">
        <v>0.29853132999999998</v>
      </c>
      <c r="T159" s="2">
        <v>0.6793188</v>
      </c>
      <c r="U159" s="2" t="s">
        <v>45</v>
      </c>
      <c r="V159" s="2" t="s">
        <v>43</v>
      </c>
      <c r="W159" s="2"/>
    </row>
    <row r="160" spans="1:23" x14ac:dyDescent="0.2">
      <c r="A160" s="4"/>
      <c r="B160" s="218" t="s">
        <v>87</v>
      </c>
      <c r="C160" s="135" t="s">
        <v>9</v>
      </c>
      <c r="D160" s="143">
        <v>44213</v>
      </c>
      <c r="E160" s="143">
        <v>44865</v>
      </c>
      <c r="F160" s="145">
        <v>0.52367260000000004</v>
      </c>
      <c r="G160" s="145">
        <v>0.83309699999999998</v>
      </c>
      <c r="H160" s="136">
        <f t="shared" si="19"/>
        <v>0.30942439999999993</v>
      </c>
      <c r="I160" s="146" t="s">
        <v>43</v>
      </c>
      <c r="J160" s="146" t="s">
        <v>43</v>
      </c>
      <c r="K160" s="148" t="str">
        <f t="shared" si="20"/>
        <v>T</v>
      </c>
      <c r="L160" s="52"/>
      <c r="M160" s="3"/>
      <c r="N160" s="1">
        <v>127</v>
      </c>
      <c r="O160" s="2" t="s">
        <v>73</v>
      </c>
      <c r="P160" s="2" t="s">
        <v>23</v>
      </c>
      <c r="Q160" s="14">
        <v>44391</v>
      </c>
      <c r="R160" s="14">
        <v>45349</v>
      </c>
      <c r="S160" s="2">
        <v>0.15781592</v>
      </c>
      <c r="T160" s="2">
        <v>0.20582810000000001</v>
      </c>
      <c r="U160" s="2" t="s">
        <v>43</v>
      </c>
      <c r="V160" s="2" t="s">
        <v>43</v>
      </c>
      <c r="W160" s="2" t="s">
        <v>43</v>
      </c>
    </row>
    <row r="161" spans="1:23" x14ac:dyDescent="0.2">
      <c r="A161" s="3"/>
      <c r="B161" s="219"/>
      <c r="C161" s="17" t="s">
        <v>10</v>
      </c>
      <c r="D161" s="144">
        <v>44312</v>
      </c>
      <c r="E161" s="144">
        <v>44789</v>
      </c>
      <c r="F161" s="18">
        <v>0.34183180000000002</v>
      </c>
      <c r="G161" s="18">
        <v>0.50097610000000004</v>
      </c>
      <c r="H161" s="128">
        <f t="shared" si="19"/>
        <v>0.15914430000000002</v>
      </c>
      <c r="I161" s="5" t="s">
        <v>43</v>
      </c>
      <c r="J161" s="5" t="s">
        <v>43</v>
      </c>
      <c r="K161" s="110" t="str">
        <f t="shared" si="20"/>
        <v>T</v>
      </c>
      <c r="L161" s="52"/>
      <c r="M161" s="4"/>
      <c r="N161" s="1">
        <v>128</v>
      </c>
      <c r="O161" s="2" t="s">
        <v>73</v>
      </c>
      <c r="P161" s="2" t="s">
        <v>24</v>
      </c>
      <c r="Q161" s="14">
        <v>44393</v>
      </c>
      <c r="R161" s="14">
        <v>45454</v>
      </c>
      <c r="S161" s="2">
        <v>0.26980750999999997</v>
      </c>
      <c r="T161" s="2">
        <v>0.42271740000000002</v>
      </c>
      <c r="U161" s="2" t="s">
        <v>43</v>
      </c>
      <c r="V161" s="2" t="s">
        <v>43</v>
      </c>
      <c r="W161" s="2" t="s">
        <v>43</v>
      </c>
    </row>
    <row r="162" spans="1:23" x14ac:dyDescent="0.2">
      <c r="A162" s="3"/>
      <c r="B162" s="219"/>
      <c r="C162" s="17" t="s">
        <v>20</v>
      </c>
      <c r="D162" s="144">
        <v>44562</v>
      </c>
      <c r="E162" s="144">
        <v>45104</v>
      </c>
      <c r="F162" s="18">
        <v>0.2974985</v>
      </c>
      <c r="G162" s="18">
        <v>0.51319979999999998</v>
      </c>
      <c r="H162" s="128">
        <f t="shared" si="19"/>
        <v>0.21570129999999998</v>
      </c>
      <c r="I162" s="5" t="s">
        <v>43</v>
      </c>
      <c r="J162" s="5" t="s">
        <v>43</v>
      </c>
      <c r="K162" s="110" t="str">
        <f t="shared" si="20"/>
        <v>T</v>
      </c>
      <c r="L162" s="52"/>
      <c r="M162" s="4"/>
      <c r="N162" s="1">
        <v>129</v>
      </c>
      <c r="O162" s="2" t="s">
        <v>73</v>
      </c>
      <c r="P162" s="2" t="s">
        <v>25</v>
      </c>
      <c r="Q162" s="14">
        <v>44393</v>
      </c>
      <c r="R162" s="14">
        <v>45113</v>
      </c>
      <c r="S162" s="2">
        <v>0.14606991</v>
      </c>
      <c r="T162" s="2">
        <v>0.20438010000000001</v>
      </c>
      <c r="U162" s="2" t="s">
        <v>43</v>
      </c>
      <c r="V162" s="2" t="s">
        <v>43</v>
      </c>
      <c r="W162" s="2" t="s">
        <v>43</v>
      </c>
    </row>
    <row r="163" spans="1:23" x14ac:dyDescent="0.2">
      <c r="A163" s="3"/>
      <c r="B163" s="219"/>
      <c r="C163" s="17" t="s">
        <v>38</v>
      </c>
      <c r="D163" s="144">
        <v>44774</v>
      </c>
      <c r="E163" s="144">
        <v>45251</v>
      </c>
      <c r="F163" s="18">
        <v>0.32919959999999998</v>
      </c>
      <c r="G163" s="18">
        <v>0.51351740000000001</v>
      </c>
      <c r="H163" s="128">
        <f t="shared" si="19"/>
        <v>0.18431780000000003</v>
      </c>
      <c r="I163" s="5" t="s">
        <v>43</v>
      </c>
      <c r="J163" s="5" t="s">
        <v>43</v>
      </c>
      <c r="K163" s="110" t="str">
        <f t="shared" si="20"/>
        <v>T</v>
      </c>
      <c r="L163" s="19"/>
      <c r="M163" s="4"/>
      <c r="N163" s="1">
        <v>130</v>
      </c>
      <c r="O163" s="2" t="s">
        <v>73</v>
      </c>
      <c r="P163" s="2" t="s">
        <v>28</v>
      </c>
      <c r="Q163" s="14">
        <v>44393</v>
      </c>
      <c r="R163" s="14">
        <v>45376</v>
      </c>
      <c r="S163" s="2">
        <v>0.3187547</v>
      </c>
      <c r="T163" s="2">
        <v>0.54962149999999999</v>
      </c>
      <c r="U163" s="2" t="s">
        <v>45</v>
      </c>
      <c r="V163" s="2" t="s">
        <v>43</v>
      </c>
      <c r="W163" s="2" t="s">
        <v>43</v>
      </c>
    </row>
    <row r="164" spans="1:23" ht="17" thickBot="1" x14ac:dyDescent="0.25">
      <c r="A164" s="3"/>
      <c r="B164" s="220"/>
      <c r="C164" s="141" t="s">
        <v>172</v>
      </c>
      <c r="D164" s="142">
        <v>44361</v>
      </c>
      <c r="E164" s="142">
        <v>45261</v>
      </c>
      <c r="F164" s="189" t="s">
        <v>57</v>
      </c>
      <c r="G164" s="189" t="s">
        <v>57</v>
      </c>
      <c r="H164" s="190" t="s">
        <v>57</v>
      </c>
      <c r="I164" s="191" t="s">
        <v>57</v>
      </c>
      <c r="J164" s="191" t="s">
        <v>57</v>
      </c>
      <c r="K164" s="192" t="s">
        <v>57</v>
      </c>
      <c r="L164" s="19"/>
      <c r="M164" s="4"/>
      <c r="N164" s="1">
        <v>131</v>
      </c>
      <c r="O164" s="2" t="s">
        <v>73</v>
      </c>
      <c r="P164" s="2" t="s">
        <v>32</v>
      </c>
      <c r="Q164" s="14">
        <v>44393</v>
      </c>
      <c r="R164" s="14">
        <v>45513</v>
      </c>
      <c r="S164" s="2">
        <v>0.27243552999999998</v>
      </c>
      <c r="T164" s="2">
        <v>0.88335260000000004</v>
      </c>
      <c r="U164" s="2" t="s">
        <v>45</v>
      </c>
      <c r="V164" s="2" t="s">
        <v>43</v>
      </c>
      <c r="W164" s="2"/>
    </row>
    <row r="165" spans="1:23" x14ac:dyDescent="0.2">
      <c r="A165" s="3"/>
      <c r="B165" s="114"/>
      <c r="C165" s="17"/>
      <c r="D165" s="59"/>
      <c r="E165" s="59"/>
      <c r="F165" s="18"/>
      <c r="G165" s="18"/>
      <c r="H165" s="129"/>
      <c r="I165" s="5"/>
      <c r="J165" s="5"/>
      <c r="K165" s="110"/>
      <c r="L165" s="19"/>
      <c r="M165" s="4"/>
      <c r="N165" s="1">
        <v>132</v>
      </c>
      <c r="O165" s="2" t="s">
        <v>73</v>
      </c>
      <c r="P165" s="2" t="s">
        <v>38</v>
      </c>
      <c r="Q165" s="14">
        <v>44393</v>
      </c>
      <c r="R165" s="14">
        <v>45491</v>
      </c>
      <c r="S165" s="2">
        <v>0.31389553999999997</v>
      </c>
      <c r="T165" s="2">
        <v>0.53606869999999995</v>
      </c>
      <c r="U165" s="2" t="s">
        <v>43</v>
      </c>
      <c r="V165" s="2" t="s">
        <v>43</v>
      </c>
    </row>
    <row r="166" spans="1:23" x14ac:dyDescent="0.2">
      <c r="A166" s="4"/>
      <c r="B166" s="114"/>
      <c r="C166" s="17"/>
      <c r="D166" s="112"/>
      <c r="E166" s="112"/>
      <c r="F166" s="113"/>
      <c r="G166" s="113"/>
      <c r="H166" s="129"/>
      <c r="I166" s="111"/>
      <c r="J166" s="111"/>
      <c r="K166" s="110"/>
      <c r="L166" s="19"/>
      <c r="M166" s="4"/>
      <c r="N166" s="1">
        <v>133</v>
      </c>
      <c r="O166" s="2" t="s">
        <v>74</v>
      </c>
      <c r="P166" s="2" t="s">
        <v>75</v>
      </c>
      <c r="Q166" s="14">
        <v>44008</v>
      </c>
      <c r="R166" s="14">
        <v>44720</v>
      </c>
      <c r="S166" s="2">
        <v>0.3248685</v>
      </c>
      <c r="T166" s="2">
        <v>0.58468160000000002</v>
      </c>
      <c r="U166" s="2" t="s">
        <v>43</v>
      </c>
      <c r="V166" s="2" t="s">
        <v>43</v>
      </c>
    </row>
    <row r="167" spans="1:23" x14ac:dyDescent="0.2">
      <c r="A167" s="4"/>
      <c r="B167" s="19"/>
      <c r="C167" s="19"/>
      <c r="D167" s="48"/>
      <c r="E167" s="48"/>
      <c r="F167" s="50"/>
      <c r="G167" s="50"/>
      <c r="H167" s="49"/>
      <c r="I167" s="49"/>
      <c r="J167" s="49"/>
      <c r="K167" s="49"/>
      <c r="L167" s="19"/>
      <c r="M167" s="4"/>
      <c r="N167" s="1">
        <v>134</v>
      </c>
      <c r="O167" s="2" t="s">
        <v>74</v>
      </c>
      <c r="P167" s="2" t="s">
        <v>35</v>
      </c>
      <c r="Q167" s="14">
        <v>44050</v>
      </c>
      <c r="R167" s="14">
        <v>44767</v>
      </c>
      <c r="S167" s="2">
        <v>0.54994714</v>
      </c>
      <c r="T167" s="2">
        <v>0.8511204</v>
      </c>
      <c r="U167" s="2" t="s">
        <v>43</v>
      </c>
      <c r="V167" s="2" t="s">
        <v>43</v>
      </c>
    </row>
    <row r="168" spans="1:23" x14ac:dyDescent="0.2">
      <c r="B168" s="19"/>
      <c r="C168" s="19"/>
      <c r="D168" s="48"/>
      <c r="E168" s="48"/>
      <c r="F168" s="50"/>
      <c r="G168" s="50"/>
      <c r="H168" s="49"/>
      <c r="I168" s="49"/>
      <c r="J168" s="49"/>
      <c r="K168" s="49"/>
      <c r="L168" s="33"/>
      <c r="N168" s="1">
        <v>135</v>
      </c>
      <c r="O168" s="2" t="s">
        <v>74</v>
      </c>
      <c r="P168" s="2" t="s">
        <v>17</v>
      </c>
      <c r="Q168" s="14">
        <v>44058</v>
      </c>
      <c r="R168" s="14">
        <v>45297</v>
      </c>
      <c r="S168" s="2">
        <v>0.30230258999999998</v>
      </c>
      <c r="T168" s="2">
        <v>0.4260254</v>
      </c>
      <c r="U168" s="2" t="s">
        <v>45</v>
      </c>
      <c r="V168" s="2" t="s">
        <v>43</v>
      </c>
    </row>
    <row r="169" spans="1:23" x14ac:dyDescent="0.2">
      <c r="B169" s="33"/>
      <c r="D169" s="38"/>
      <c r="E169" s="38"/>
      <c r="F169" s="46"/>
      <c r="G169" s="46"/>
      <c r="H169" s="41"/>
      <c r="I169" s="41"/>
      <c r="J169" s="41"/>
      <c r="K169" s="41"/>
      <c r="L169" s="33"/>
      <c r="N169" s="1">
        <v>136</v>
      </c>
      <c r="O169" s="2" t="s">
        <v>74</v>
      </c>
      <c r="P169" s="2" t="s">
        <v>18</v>
      </c>
      <c r="Q169" s="14">
        <v>44208</v>
      </c>
      <c r="R169" s="14">
        <v>44987</v>
      </c>
      <c r="S169" s="2">
        <v>0.34180174000000002</v>
      </c>
      <c r="T169" s="2">
        <v>0.41600169999999997</v>
      </c>
      <c r="U169" s="2" t="s">
        <v>43</v>
      </c>
      <c r="V169" s="2" t="s">
        <v>43</v>
      </c>
    </row>
    <row r="170" spans="1:23" x14ac:dyDescent="0.2">
      <c r="B170" s="33"/>
      <c r="D170" s="38"/>
      <c r="E170" s="38"/>
      <c r="F170" s="46"/>
      <c r="G170" s="46"/>
      <c r="H170" s="41"/>
      <c r="I170" s="41"/>
      <c r="J170" s="41"/>
      <c r="K170" s="41"/>
      <c r="L170" s="33"/>
      <c r="N170" s="1">
        <v>137</v>
      </c>
      <c r="O170" s="2" t="s">
        <v>74</v>
      </c>
      <c r="P170" s="2" t="s">
        <v>76</v>
      </c>
      <c r="Q170" s="14">
        <v>44255</v>
      </c>
      <c r="R170" s="14">
        <v>45096</v>
      </c>
      <c r="S170" s="2">
        <v>0.25223023999999999</v>
      </c>
      <c r="T170" s="2">
        <v>0.59711760000000003</v>
      </c>
      <c r="U170" s="2" t="s">
        <v>43</v>
      </c>
      <c r="V170" s="2" t="s">
        <v>43</v>
      </c>
    </row>
    <row r="171" spans="1:23" x14ac:dyDescent="0.2">
      <c r="B171" s="33"/>
      <c r="D171" s="38"/>
      <c r="E171" s="38"/>
      <c r="F171" s="46"/>
      <c r="G171" s="46"/>
      <c r="H171" s="41"/>
      <c r="I171" s="41"/>
      <c r="J171" s="41"/>
      <c r="K171" s="41"/>
      <c r="L171" s="33"/>
      <c r="N171" s="1">
        <v>138</v>
      </c>
      <c r="O171" s="2" t="s">
        <v>74</v>
      </c>
      <c r="P171" s="2" t="s">
        <v>20</v>
      </c>
      <c r="Q171" s="14">
        <v>44517</v>
      </c>
      <c r="R171" s="14">
        <v>45338</v>
      </c>
      <c r="S171" s="2">
        <v>0.25902625000000001</v>
      </c>
      <c r="T171" s="2">
        <v>0.7039841</v>
      </c>
      <c r="U171" s="2" t="s">
        <v>43</v>
      </c>
      <c r="V171" s="2" t="s">
        <v>43</v>
      </c>
    </row>
    <row r="172" spans="1:23" x14ac:dyDescent="0.2">
      <c r="B172" s="33"/>
      <c r="D172" s="38"/>
      <c r="E172" s="38"/>
      <c r="F172" s="46"/>
      <c r="G172" s="46"/>
      <c r="H172" s="41"/>
      <c r="I172" s="41"/>
      <c r="J172" s="41"/>
      <c r="K172" s="41"/>
      <c r="L172" s="33"/>
      <c r="N172" s="1">
        <v>139</v>
      </c>
      <c r="O172" s="2" t="s">
        <v>74</v>
      </c>
      <c r="P172" s="2" t="s">
        <v>24</v>
      </c>
      <c r="Q172" s="14">
        <v>44567</v>
      </c>
      <c r="R172" s="14">
        <v>45026</v>
      </c>
      <c r="S172" s="2">
        <v>0.18902915000000001</v>
      </c>
      <c r="T172" s="2">
        <v>0.28653119999999999</v>
      </c>
      <c r="U172" s="2" t="s">
        <v>43</v>
      </c>
      <c r="V172" s="2" t="s">
        <v>43</v>
      </c>
    </row>
    <row r="173" spans="1:23" x14ac:dyDescent="0.2">
      <c r="B173" s="33"/>
      <c r="D173" s="38"/>
      <c r="E173" s="38"/>
      <c r="F173" s="46"/>
      <c r="G173" s="46"/>
      <c r="H173" s="41"/>
      <c r="I173" s="41"/>
      <c r="J173" s="41"/>
      <c r="K173" s="41"/>
      <c r="L173" s="33"/>
      <c r="N173" s="1">
        <v>140</v>
      </c>
      <c r="O173" s="2" t="s">
        <v>74</v>
      </c>
      <c r="P173" s="2" t="s">
        <v>26</v>
      </c>
      <c r="Q173" s="14">
        <v>44567</v>
      </c>
      <c r="R173" s="14">
        <v>45251</v>
      </c>
      <c r="S173" s="2">
        <v>0.27009033999999998</v>
      </c>
      <c r="T173" s="2">
        <v>0.47652250000000002</v>
      </c>
      <c r="U173" s="2" t="s">
        <v>43</v>
      </c>
      <c r="V173" s="2" t="s">
        <v>43</v>
      </c>
    </row>
    <row r="174" spans="1:23" x14ac:dyDescent="0.2">
      <c r="B174" s="33"/>
      <c r="D174" s="38"/>
      <c r="E174" s="38"/>
      <c r="F174" s="46"/>
      <c r="G174" s="46"/>
      <c r="H174" s="41"/>
      <c r="I174" s="41"/>
      <c r="J174" s="41"/>
      <c r="K174" s="41"/>
      <c r="L174" s="33"/>
      <c r="N174" s="1">
        <v>141</v>
      </c>
      <c r="O174" s="2" t="s">
        <v>74</v>
      </c>
      <c r="P174" s="2" t="s">
        <v>28</v>
      </c>
      <c r="Q174" s="14">
        <v>44731</v>
      </c>
      <c r="R174" s="14">
        <v>45080</v>
      </c>
      <c r="S174" s="2">
        <v>0.35931035</v>
      </c>
      <c r="T174" s="2">
        <v>0.59900900000000001</v>
      </c>
      <c r="U174" s="2" t="s">
        <v>43</v>
      </c>
      <c r="V174" s="2" t="s">
        <v>43</v>
      </c>
    </row>
    <row r="175" spans="1:23" x14ac:dyDescent="0.2">
      <c r="B175" s="33"/>
      <c r="D175" s="38"/>
      <c r="E175" s="38"/>
      <c r="F175" s="46"/>
      <c r="G175" s="46"/>
      <c r="H175" s="41"/>
      <c r="I175" s="41"/>
      <c r="J175" s="41"/>
      <c r="K175" s="41"/>
      <c r="L175" s="33"/>
      <c r="N175" s="1">
        <v>142</v>
      </c>
      <c r="O175" s="2" t="s">
        <v>74</v>
      </c>
      <c r="P175" s="2" t="s">
        <v>394</v>
      </c>
      <c r="Q175" s="14">
        <v>44740</v>
      </c>
      <c r="R175" s="14">
        <v>45257</v>
      </c>
      <c r="S175" s="2">
        <v>0.19633529</v>
      </c>
      <c r="T175" s="2">
        <v>0.2956646</v>
      </c>
      <c r="U175" s="2" t="s">
        <v>43</v>
      </c>
      <c r="V175" s="2" t="s">
        <v>43</v>
      </c>
    </row>
    <row r="176" spans="1:23" x14ac:dyDescent="0.2">
      <c r="B176" s="33"/>
      <c r="D176" s="38"/>
      <c r="E176" s="38"/>
      <c r="F176" s="46"/>
      <c r="G176" s="46"/>
      <c r="H176" s="41"/>
      <c r="I176" s="41"/>
      <c r="J176" s="41"/>
      <c r="K176" s="41"/>
      <c r="L176" s="33"/>
      <c r="N176" s="1">
        <v>143</v>
      </c>
      <c r="O176" s="2" t="s">
        <v>74</v>
      </c>
      <c r="P176" s="2" t="s">
        <v>395</v>
      </c>
      <c r="Q176" s="14">
        <v>44789</v>
      </c>
      <c r="R176" s="14">
        <v>45019</v>
      </c>
      <c r="S176" s="2">
        <v>0.22565305999999999</v>
      </c>
      <c r="T176" s="2">
        <v>0.20166780000000001</v>
      </c>
      <c r="U176" s="2" t="s">
        <v>45</v>
      </c>
      <c r="V176" s="2" t="s">
        <v>45</v>
      </c>
    </row>
    <row r="177" spans="2:22" x14ac:dyDescent="0.2">
      <c r="B177" s="33"/>
      <c r="D177" s="38"/>
      <c r="E177" s="38"/>
      <c r="F177" s="46"/>
      <c r="G177" s="46"/>
      <c r="H177" s="41"/>
      <c r="I177" s="41"/>
      <c r="J177" s="41"/>
      <c r="K177" s="41"/>
      <c r="L177" s="33"/>
      <c r="N177" s="1">
        <v>144</v>
      </c>
      <c r="O177" s="2" t="s">
        <v>74</v>
      </c>
      <c r="P177" s="2" t="s">
        <v>396</v>
      </c>
      <c r="Q177" s="14">
        <v>44860</v>
      </c>
      <c r="R177" s="14">
        <v>45190</v>
      </c>
      <c r="S177" s="2">
        <v>0.14867644999999999</v>
      </c>
      <c r="T177" s="2">
        <v>0.23775769999999999</v>
      </c>
      <c r="U177" s="2" t="s">
        <v>43</v>
      </c>
      <c r="V177" s="2" t="s">
        <v>43</v>
      </c>
    </row>
    <row r="178" spans="2:22" x14ac:dyDescent="0.2">
      <c r="B178" s="33"/>
      <c r="D178" s="38"/>
      <c r="E178" s="38"/>
      <c r="F178" s="46"/>
      <c r="G178" s="46"/>
      <c r="H178" s="41"/>
      <c r="I178" s="41"/>
      <c r="J178" s="41"/>
      <c r="K178" s="41"/>
      <c r="L178" s="33"/>
      <c r="N178" s="1">
        <v>145</v>
      </c>
      <c r="O178" s="2" t="s">
        <v>74</v>
      </c>
      <c r="P178" s="2" t="s">
        <v>38</v>
      </c>
      <c r="Q178" s="14">
        <v>44874</v>
      </c>
      <c r="R178" s="14">
        <v>45317</v>
      </c>
      <c r="S178" s="2">
        <v>0.16423325999999999</v>
      </c>
      <c r="T178" s="2">
        <v>0.31812049999999997</v>
      </c>
      <c r="U178" s="2" t="s">
        <v>43</v>
      </c>
      <c r="V178" s="2" t="s">
        <v>43</v>
      </c>
    </row>
    <row r="179" spans="2:22" x14ac:dyDescent="0.2">
      <c r="B179" s="33"/>
      <c r="D179" s="38"/>
      <c r="E179" s="38"/>
      <c r="F179" s="46"/>
      <c r="G179" s="46"/>
      <c r="H179" s="41"/>
      <c r="I179" s="41"/>
      <c r="J179" s="41"/>
      <c r="K179" s="41"/>
      <c r="L179" s="33"/>
      <c r="N179" s="1">
        <v>146</v>
      </c>
      <c r="O179" s="2" t="s">
        <v>74</v>
      </c>
      <c r="P179" s="2" t="s">
        <v>397</v>
      </c>
      <c r="Q179" s="14">
        <v>44906</v>
      </c>
      <c r="R179" s="14">
        <v>45190</v>
      </c>
      <c r="S179" s="2">
        <v>0.37712034</v>
      </c>
      <c r="T179" s="2">
        <v>0.42025220000000002</v>
      </c>
      <c r="U179" s="2" t="s">
        <v>45</v>
      </c>
      <c r="V179" s="2" t="s">
        <v>45</v>
      </c>
    </row>
    <row r="180" spans="2:22" x14ac:dyDescent="0.2">
      <c r="B180" s="33"/>
      <c r="D180" s="38"/>
      <c r="E180" s="38"/>
      <c r="F180" s="46"/>
      <c r="G180" s="46"/>
      <c r="H180" s="41"/>
      <c r="I180" s="41"/>
      <c r="J180" s="41"/>
      <c r="K180" s="41"/>
      <c r="L180" s="33"/>
      <c r="N180" s="1">
        <v>147</v>
      </c>
      <c r="O180" s="2" t="s">
        <v>74</v>
      </c>
      <c r="P180" s="2" t="s">
        <v>398</v>
      </c>
      <c r="Q180" s="14">
        <v>45009</v>
      </c>
      <c r="R180" s="14">
        <v>45343</v>
      </c>
      <c r="S180" s="2">
        <v>0.16012409999999999</v>
      </c>
      <c r="T180" s="2">
        <v>0.2373469</v>
      </c>
      <c r="U180" s="2" t="s">
        <v>43</v>
      </c>
      <c r="V180" s="2" t="s">
        <v>43</v>
      </c>
    </row>
    <row r="181" spans="2:22" x14ac:dyDescent="0.2">
      <c r="B181" s="33"/>
      <c r="D181" s="38"/>
      <c r="E181" s="38"/>
      <c r="F181" s="46"/>
      <c r="G181" s="46"/>
      <c r="H181" s="41"/>
      <c r="I181" s="41"/>
      <c r="J181" s="41"/>
      <c r="K181" s="41"/>
      <c r="L181" s="33"/>
      <c r="N181" s="1">
        <v>148</v>
      </c>
      <c r="O181" s="2" t="s">
        <v>74</v>
      </c>
      <c r="P181" s="2" t="s">
        <v>399</v>
      </c>
      <c r="Q181" s="14">
        <v>45069</v>
      </c>
      <c r="R181" s="14">
        <v>45328</v>
      </c>
      <c r="S181" s="2">
        <v>0.15634556999999999</v>
      </c>
      <c r="T181" s="2">
        <v>0.28174320000000003</v>
      </c>
      <c r="U181" s="2" t="s">
        <v>43</v>
      </c>
      <c r="V181" s="2" t="s">
        <v>43</v>
      </c>
    </row>
    <row r="182" spans="2:22" x14ac:dyDescent="0.2">
      <c r="B182" s="33"/>
      <c r="D182" s="38"/>
      <c r="E182" s="38"/>
      <c r="F182" s="46"/>
      <c r="G182" s="46"/>
      <c r="H182" s="41"/>
      <c r="I182" s="41"/>
      <c r="J182" s="41"/>
      <c r="K182" s="41"/>
      <c r="L182" s="33"/>
      <c r="N182" s="1">
        <v>149</v>
      </c>
      <c r="O182" s="2" t="s">
        <v>74</v>
      </c>
      <c r="P182" s="2" t="s">
        <v>78</v>
      </c>
      <c r="Q182" s="14">
        <v>45104</v>
      </c>
      <c r="R182" s="14">
        <v>45357</v>
      </c>
      <c r="S182" s="2">
        <v>0.28227475000000002</v>
      </c>
      <c r="T182" s="2">
        <v>0.37813540000000001</v>
      </c>
      <c r="U182" s="2" t="s">
        <v>43</v>
      </c>
      <c r="V182" s="2" t="s">
        <v>43</v>
      </c>
    </row>
    <row r="183" spans="2:22" x14ac:dyDescent="0.2">
      <c r="B183" s="33"/>
      <c r="D183" s="38"/>
      <c r="E183" s="38"/>
      <c r="F183" s="46"/>
      <c r="G183" s="46"/>
      <c r="H183" s="41"/>
      <c r="I183" s="41"/>
      <c r="J183" s="41"/>
      <c r="K183" s="41"/>
      <c r="L183" s="33"/>
      <c r="N183" s="1">
        <v>150</v>
      </c>
      <c r="O183" s="2" t="s">
        <v>74</v>
      </c>
      <c r="P183" s="2" t="s">
        <v>165</v>
      </c>
      <c r="Q183" s="14">
        <v>45218</v>
      </c>
      <c r="R183" s="14">
        <v>45359</v>
      </c>
      <c r="S183" s="2">
        <v>0.18941553</v>
      </c>
      <c r="T183" s="2">
        <v>0.22437850000000001</v>
      </c>
      <c r="U183" s="2" t="s">
        <v>45</v>
      </c>
      <c r="V183" s="2" t="s">
        <v>45</v>
      </c>
    </row>
    <row r="184" spans="2:22" x14ac:dyDescent="0.2">
      <c r="B184" s="33"/>
      <c r="D184" s="38"/>
      <c r="E184" s="38"/>
      <c r="F184" s="46"/>
      <c r="G184" s="46"/>
      <c r="H184" s="41"/>
      <c r="I184" s="41"/>
      <c r="J184" s="41"/>
      <c r="K184" s="41"/>
      <c r="L184" s="33"/>
      <c r="N184" s="1">
        <v>151</v>
      </c>
      <c r="O184" s="2" t="s">
        <v>79</v>
      </c>
      <c r="P184" s="2" t="s">
        <v>382</v>
      </c>
      <c r="Q184" s="14">
        <v>43900</v>
      </c>
      <c r="R184" s="14">
        <v>44642</v>
      </c>
      <c r="S184" s="2">
        <v>0.15391887000000001</v>
      </c>
      <c r="T184" s="2">
        <v>0.23984359999999999</v>
      </c>
      <c r="U184" s="2" t="s">
        <v>43</v>
      </c>
      <c r="V184" s="2" t="s">
        <v>43</v>
      </c>
    </row>
    <row r="185" spans="2:22" x14ac:dyDescent="0.2">
      <c r="B185" s="33"/>
      <c r="D185" s="38"/>
      <c r="E185" s="38"/>
      <c r="F185" s="46"/>
      <c r="G185" s="46"/>
      <c r="H185" s="41"/>
      <c r="I185" s="41"/>
      <c r="J185" s="41"/>
      <c r="K185" s="41"/>
      <c r="L185" s="33"/>
      <c r="N185" s="1">
        <v>152</v>
      </c>
      <c r="O185" s="2" t="s">
        <v>79</v>
      </c>
      <c r="P185" s="2" t="s">
        <v>36</v>
      </c>
      <c r="Q185" s="14">
        <v>43900</v>
      </c>
      <c r="R185" s="14">
        <v>44424</v>
      </c>
      <c r="S185" s="2">
        <v>0.27965277999999999</v>
      </c>
      <c r="T185" s="2">
        <v>0.66190479999999996</v>
      </c>
      <c r="U185" s="2" t="s">
        <v>43</v>
      </c>
      <c r="V185" s="2" t="s">
        <v>43</v>
      </c>
    </row>
    <row r="186" spans="2:22" x14ac:dyDescent="0.2">
      <c r="B186" s="33"/>
      <c r="D186" s="38"/>
      <c r="E186" s="38"/>
      <c r="F186" s="46"/>
      <c r="G186" s="46"/>
      <c r="H186" s="41"/>
      <c r="I186" s="41"/>
      <c r="J186" s="41"/>
      <c r="K186" s="41"/>
      <c r="L186" s="33"/>
      <c r="N186" s="1">
        <v>153</v>
      </c>
      <c r="O186" s="2" t="s">
        <v>79</v>
      </c>
      <c r="P186" s="2" t="s">
        <v>400</v>
      </c>
      <c r="Q186" s="14">
        <v>43906</v>
      </c>
      <c r="R186" s="14">
        <v>44866</v>
      </c>
      <c r="S186" s="2">
        <v>0.13762979</v>
      </c>
      <c r="T186" s="2">
        <v>0.2047254</v>
      </c>
      <c r="U186" s="2" t="s">
        <v>45</v>
      </c>
      <c r="V186" s="2" t="s">
        <v>45</v>
      </c>
    </row>
    <row r="187" spans="2:22" x14ac:dyDescent="0.2">
      <c r="B187" s="33"/>
      <c r="D187" s="38"/>
      <c r="E187" s="38"/>
      <c r="F187" s="46"/>
      <c r="G187" s="46"/>
      <c r="H187" s="41"/>
      <c r="I187" s="41"/>
      <c r="J187" s="41"/>
      <c r="K187" s="41"/>
      <c r="L187" s="33"/>
      <c r="N187" s="1">
        <v>154</v>
      </c>
      <c r="O187" s="2" t="s">
        <v>79</v>
      </c>
      <c r="P187" s="2" t="s">
        <v>80</v>
      </c>
      <c r="Q187" s="14">
        <v>43909</v>
      </c>
      <c r="R187" s="14">
        <v>44152</v>
      </c>
      <c r="S187" s="2">
        <v>0.79905866999999997</v>
      </c>
      <c r="T187" s="2">
        <v>0.99169929999999995</v>
      </c>
      <c r="U187" s="2" t="s">
        <v>43</v>
      </c>
      <c r="V187" s="2" t="s">
        <v>43</v>
      </c>
    </row>
    <row r="188" spans="2:22" x14ac:dyDescent="0.2">
      <c r="B188" s="33"/>
      <c r="D188" s="38"/>
      <c r="E188" s="38"/>
      <c r="F188" s="46"/>
      <c r="G188" s="46"/>
      <c r="H188" s="41"/>
      <c r="I188" s="41"/>
      <c r="J188" s="41"/>
      <c r="K188" s="41"/>
      <c r="L188" s="33"/>
      <c r="N188" s="1">
        <v>155</v>
      </c>
      <c r="O188" s="2" t="s">
        <v>79</v>
      </c>
      <c r="P188" s="2" t="s">
        <v>81</v>
      </c>
      <c r="Q188" s="14">
        <v>44372</v>
      </c>
      <c r="R188" s="14">
        <v>44726</v>
      </c>
      <c r="S188" s="2">
        <v>0.26750159000000001</v>
      </c>
      <c r="T188" s="2">
        <v>0.53287030000000002</v>
      </c>
      <c r="U188" s="2" t="s">
        <v>43</v>
      </c>
      <c r="V188" s="2" t="s">
        <v>43</v>
      </c>
    </row>
    <row r="189" spans="2:22" x14ac:dyDescent="0.2">
      <c r="B189" s="33"/>
      <c r="D189" s="38"/>
      <c r="E189" s="38"/>
      <c r="F189" s="46"/>
      <c r="G189" s="46"/>
      <c r="H189" s="41"/>
      <c r="I189" s="41"/>
      <c r="J189" s="41"/>
      <c r="K189" s="41"/>
      <c r="L189" s="33"/>
      <c r="N189" s="1">
        <v>156</v>
      </c>
      <c r="O189" s="2" t="s">
        <v>79</v>
      </c>
      <c r="P189" s="2" t="s">
        <v>401</v>
      </c>
      <c r="Q189" s="14">
        <v>44402</v>
      </c>
      <c r="R189" s="14">
        <v>44551</v>
      </c>
      <c r="S189" s="2">
        <v>0.14861867000000001</v>
      </c>
      <c r="T189" s="2">
        <v>0.20878269999999999</v>
      </c>
      <c r="U189" s="2" t="s">
        <v>45</v>
      </c>
      <c r="V189" s="2" t="s">
        <v>45</v>
      </c>
    </row>
    <row r="190" spans="2:22" x14ac:dyDescent="0.2">
      <c r="B190" s="33"/>
      <c r="D190" s="38"/>
      <c r="E190" s="38"/>
      <c r="F190" s="46"/>
      <c r="G190" s="46"/>
      <c r="H190" s="41"/>
      <c r="I190" s="41"/>
      <c r="J190" s="41"/>
      <c r="K190" s="41"/>
      <c r="L190" s="33"/>
      <c r="N190" s="1">
        <v>157</v>
      </c>
      <c r="O190" s="2" t="s">
        <v>79</v>
      </c>
      <c r="P190" s="2" t="s">
        <v>402</v>
      </c>
      <c r="Q190" s="14">
        <v>44453</v>
      </c>
      <c r="R190" s="14">
        <v>44605</v>
      </c>
      <c r="S190" s="2">
        <v>0.13045259000000001</v>
      </c>
      <c r="T190" s="2">
        <v>0.29828300000000002</v>
      </c>
      <c r="U190" s="2" t="s">
        <v>45</v>
      </c>
      <c r="V190" s="2" t="s">
        <v>45</v>
      </c>
    </row>
    <row r="191" spans="2:22" x14ac:dyDescent="0.2">
      <c r="B191" s="33"/>
      <c r="D191" s="38"/>
      <c r="E191" s="38"/>
      <c r="F191" s="46"/>
      <c r="G191" s="46"/>
      <c r="H191" s="41"/>
      <c r="I191" s="41"/>
      <c r="J191" s="41"/>
      <c r="K191" s="41"/>
      <c r="L191" s="33"/>
      <c r="N191" s="1">
        <v>158</v>
      </c>
      <c r="O191" s="2" t="s">
        <v>79</v>
      </c>
      <c r="P191" s="2" t="s">
        <v>20</v>
      </c>
      <c r="Q191" s="14">
        <v>44531</v>
      </c>
      <c r="R191" s="14">
        <v>45503</v>
      </c>
      <c r="S191" s="2">
        <v>0.29122276000000002</v>
      </c>
      <c r="T191" s="2">
        <v>0.6902973</v>
      </c>
      <c r="U191" s="2" t="s">
        <v>43</v>
      </c>
      <c r="V191" s="2" t="s">
        <v>43</v>
      </c>
    </row>
    <row r="192" spans="2:22" x14ac:dyDescent="0.2">
      <c r="B192" s="33"/>
      <c r="D192" s="38"/>
      <c r="E192" s="38"/>
      <c r="F192" s="46"/>
      <c r="G192" s="46"/>
      <c r="H192" s="41"/>
      <c r="I192" s="41"/>
      <c r="J192" s="41"/>
      <c r="K192" s="41"/>
      <c r="L192" s="33"/>
      <c r="N192" s="1">
        <v>159</v>
      </c>
      <c r="O192" s="2" t="s">
        <v>79</v>
      </c>
      <c r="P192" s="2" t="s">
        <v>403</v>
      </c>
      <c r="Q192" s="14">
        <v>44572</v>
      </c>
      <c r="R192" s="14">
        <v>45097</v>
      </c>
      <c r="S192" s="2">
        <v>0.14418109000000001</v>
      </c>
      <c r="T192" s="2">
        <v>0.20925569999999999</v>
      </c>
      <c r="U192" s="2" t="s">
        <v>43</v>
      </c>
      <c r="V192" s="2" t="s">
        <v>43</v>
      </c>
    </row>
    <row r="193" spans="2:22" x14ac:dyDescent="0.2">
      <c r="B193" s="33"/>
      <c r="D193" s="38"/>
      <c r="E193" s="38"/>
      <c r="F193" s="46"/>
      <c r="G193" s="46"/>
      <c r="H193" s="41"/>
      <c r="I193" s="41"/>
      <c r="J193" s="41"/>
      <c r="K193" s="41"/>
      <c r="L193" s="33"/>
      <c r="N193" s="1">
        <v>160</v>
      </c>
      <c r="O193" s="2" t="s">
        <v>79</v>
      </c>
      <c r="P193" s="2" t="s">
        <v>25</v>
      </c>
      <c r="Q193" s="14">
        <v>44579</v>
      </c>
      <c r="R193" s="14">
        <v>45167</v>
      </c>
      <c r="S193" s="2">
        <v>0.26834097000000001</v>
      </c>
      <c r="T193" s="2">
        <v>0.31732460000000001</v>
      </c>
      <c r="U193" s="2" t="s">
        <v>43</v>
      </c>
      <c r="V193" s="2" t="s">
        <v>43</v>
      </c>
    </row>
    <row r="194" spans="2:22" x14ac:dyDescent="0.2">
      <c r="B194" s="33"/>
      <c r="D194" s="38"/>
      <c r="E194" s="38"/>
      <c r="F194" s="46"/>
      <c r="G194" s="46"/>
      <c r="H194" s="41"/>
      <c r="I194" s="41"/>
      <c r="J194" s="41"/>
      <c r="K194" s="41"/>
      <c r="L194" s="33"/>
      <c r="N194" s="1">
        <v>161</v>
      </c>
      <c r="O194" s="2" t="s">
        <v>79</v>
      </c>
      <c r="P194" s="2" t="s">
        <v>26</v>
      </c>
      <c r="Q194" s="14">
        <v>44610</v>
      </c>
      <c r="R194" s="14">
        <v>45029</v>
      </c>
      <c r="S194" s="2">
        <v>0.24632762</v>
      </c>
      <c r="T194" s="2">
        <v>0.2941957</v>
      </c>
      <c r="U194" s="2" t="s">
        <v>43</v>
      </c>
      <c r="V194" s="2" t="s">
        <v>43</v>
      </c>
    </row>
    <row r="195" spans="2:22" x14ac:dyDescent="0.2">
      <c r="B195" s="33"/>
      <c r="D195" s="38"/>
      <c r="E195" s="38"/>
      <c r="F195" s="46"/>
      <c r="G195" s="46"/>
      <c r="H195" s="41"/>
      <c r="I195" s="41"/>
      <c r="J195" s="41"/>
      <c r="K195" s="41"/>
      <c r="L195" s="33"/>
      <c r="N195" s="1">
        <v>162</v>
      </c>
      <c r="O195" s="2" t="s">
        <v>79</v>
      </c>
      <c r="P195" s="2" t="s">
        <v>164</v>
      </c>
      <c r="Q195" s="14">
        <v>44779</v>
      </c>
      <c r="R195" s="14">
        <v>45201</v>
      </c>
      <c r="S195" s="2">
        <v>0.21484818999999999</v>
      </c>
      <c r="T195" s="2">
        <v>0.3534311</v>
      </c>
      <c r="U195" s="2" t="s">
        <v>43</v>
      </c>
      <c r="V195" s="2" t="s">
        <v>43</v>
      </c>
    </row>
    <row r="196" spans="2:22" x14ac:dyDescent="0.2">
      <c r="B196" s="33"/>
      <c r="D196" s="38"/>
      <c r="E196" s="38"/>
      <c r="F196" s="46"/>
      <c r="G196" s="46"/>
      <c r="H196" s="41"/>
      <c r="I196" s="41"/>
      <c r="J196" s="41"/>
      <c r="K196" s="41"/>
      <c r="L196" s="33"/>
      <c r="N196" s="1">
        <v>163</v>
      </c>
      <c r="O196" s="2" t="s">
        <v>79</v>
      </c>
      <c r="P196" s="2" t="s">
        <v>38</v>
      </c>
      <c r="Q196" s="14">
        <v>44856</v>
      </c>
      <c r="R196" s="14">
        <v>45370</v>
      </c>
      <c r="S196" s="2">
        <v>0.16086007999999999</v>
      </c>
      <c r="T196" s="2">
        <v>0.30434909999999998</v>
      </c>
      <c r="U196" s="2" t="s">
        <v>43</v>
      </c>
      <c r="V196" s="2" t="s">
        <v>43</v>
      </c>
    </row>
    <row r="197" spans="2:22" x14ac:dyDescent="0.2">
      <c r="B197" s="33"/>
      <c r="D197" s="38"/>
      <c r="E197" s="38"/>
      <c r="F197" s="46"/>
      <c r="G197" s="46"/>
      <c r="H197" s="41"/>
      <c r="I197" s="41"/>
      <c r="J197" s="41"/>
      <c r="K197" s="41"/>
      <c r="L197" s="33"/>
      <c r="N197" s="1">
        <v>164</v>
      </c>
      <c r="O197" s="2" t="s">
        <v>79</v>
      </c>
      <c r="P197" s="2" t="s">
        <v>30</v>
      </c>
      <c r="Q197" s="14">
        <v>44930</v>
      </c>
      <c r="R197" s="14">
        <v>45415</v>
      </c>
      <c r="S197" s="2">
        <v>0.23145824000000001</v>
      </c>
      <c r="T197" s="2">
        <v>0.3108205</v>
      </c>
      <c r="U197" s="2" t="s">
        <v>43</v>
      </c>
      <c r="V197" s="2" t="s">
        <v>43</v>
      </c>
    </row>
    <row r="198" spans="2:22" x14ac:dyDescent="0.2">
      <c r="B198" s="33"/>
      <c r="D198" s="38"/>
      <c r="E198" s="38"/>
      <c r="F198" s="46"/>
      <c r="G198" s="46"/>
      <c r="H198" s="41"/>
      <c r="I198" s="41"/>
      <c r="J198" s="41"/>
      <c r="K198" s="41"/>
      <c r="L198" s="33"/>
      <c r="N198" s="1">
        <v>165</v>
      </c>
      <c r="O198" s="2" t="s">
        <v>79</v>
      </c>
      <c r="P198" s="2" t="s">
        <v>32</v>
      </c>
      <c r="Q198" s="14">
        <v>44943</v>
      </c>
      <c r="R198" s="14">
        <v>45520</v>
      </c>
      <c r="S198" s="2">
        <v>0.37315232999999998</v>
      </c>
      <c r="T198" s="2">
        <v>0.76185650000000005</v>
      </c>
      <c r="U198" s="2" t="s">
        <v>43</v>
      </c>
      <c r="V198" s="2" t="s">
        <v>43</v>
      </c>
    </row>
    <row r="199" spans="2:22" x14ac:dyDescent="0.2">
      <c r="B199" s="33"/>
      <c r="D199" s="38"/>
      <c r="E199" s="38"/>
      <c r="F199" s="46"/>
      <c r="G199" s="46"/>
      <c r="H199" s="41"/>
      <c r="I199" s="41"/>
      <c r="J199" s="41"/>
      <c r="K199" s="41"/>
      <c r="L199" s="33"/>
      <c r="N199" s="1">
        <v>166</v>
      </c>
      <c r="O199" s="2" t="s">
        <v>79</v>
      </c>
      <c r="P199" s="2" t="s">
        <v>404</v>
      </c>
      <c r="Q199" s="14">
        <v>44943</v>
      </c>
      <c r="R199" s="14">
        <v>45333</v>
      </c>
      <c r="S199" s="2">
        <v>0.12743726999999999</v>
      </c>
      <c r="T199" s="2">
        <v>0.2373034</v>
      </c>
      <c r="U199" s="2" t="s">
        <v>45</v>
      </c>
      <c r="V199" s="2" t="s">
        <v>43</v>
      </c>
    </row>
    <row r="200" spans="2:22" x14ac:dyDescent="0.2">
      <c r="B200" s="33"/>
      <c r="D200" s="38"/>
      <c r="E200" s="38"/>
      <c r="F200" s="46"/>
      <c r="G200" s="46"/>
      <c r="H200" s="41"/>
      <c r="I200" s="41"/>
      <c r="J200" s="41"/>
      <c r="K200" s="41"/>
      <c r="L200" s="33"/>
      <c r="N200" s="1">
        <v>167</v>
      </c>
      <c r="O200" s="2" t="s">
        <v>79</v>
      </c>
      <c r="P200" s="2" t="s">
        <v>37</v>
      </c>
      <c r="Q200" s="14">
        <v>44985</v>
      </c>
      <c r="R200" s="14">
        <v>45297</v>
      </c>
      <c r="S200" s="2">
        <v>0.22686247000000001</v>
      </c>
      <c r="T200" s="2">
        <v>0.26622689999999999</v>
      </c>
      <c r="U200" s="2" t="s">
        <v>43</v>
      </c>
      <c r="V200" s="2" t="s">
        <v>43</v>
      </c>
    </row>
    <row r="201" spans="2:22" x14ac:dyDescent="0.2">
      <c r="B201" s="33"/>
      <c r="D201" s="38"/>
      <c r="E201" s="38"/>
      <c r="F201" s="46"/>
      <c r="G201" s="46"/>
      <c r="H201" s="41"/>
      <c r="I201" s="41"/>
      <c r="J201" s="41"/>
      <c r="K201" s="41"/>
      <c r="L201" s="33"/>
      <c r="N201" s="1">
        <v>168</v>
      </c>
      <c r="O201" s="2" t="s">
        <v>48</v>
      </c>
      <c r="P201" s="2" t="s">
        <v>151</v>
      </c>
      <c r="Q201" s="14">
        <v>44249</v>
      </c>
      <c r="R201" s="14">
        <v>44460</v>
      </c>
      <c r="S201" s="2">
        <v>0.31781386</v>
      </c>
      <c r="T201" s="2">
        <v>0.4606924</v>
      </c>
      <c r="U201" s="2" t="s">
        <v>43</v>
      </c>
      <c r="V201" s="2" t="s">
        <v>43</v>
      </c>
    </row>
    <row r="202" spans="2:22" x14ac:dyDescent="0.2">
      <c r="B202" s="33"/>
      <c r="D202" s="38"/>
      <c r="E202" s="38"/>
      <c r="F202" s="46"/>
      <c r="G202" s="46"/>
      <c r="H202" s="41"/>
      <c r="I202" s="41"/>
      <c r="J202" s="41"/>
      <c r="K202" s="41"/>
      <c r="L202" s="33"/>
      <c r="N202" s="1">
        <v>169</v>
      </c>
      <c r="O202" s="2" t="s">
        <v>48</v>
      </c>
      <c r="P202" s="2" t="s">
        <v>9</v>
      </c>
      <c r="Q202" s="14">
        <v>44308</v>
      </c>
      <c r="R202" s="14">
        <v>45118</v>
      </c>
      <c r="S202" s="2">
        <v>0.19315600999999999</v>
      </c>
      <c r="T202" s="2">
        <v>0.39782459999999997</v>
      </c>
      <c r="U202" s="2" t="s">
        <v>43</v>
      </c>
      <c r="V202" s="2" t="s">
        <v>43</v>
      </c>
    </row>
    <row r="203" spans="2:22" x14ac:dyDescent="0.2">
      <c r="B203" s="33"/>
      <c r="D203" s="38"/>
      <c r="E203" s="38"/>
      <c r="F203" s="46"/>
      <c r="G203" s="46"/>
      <c r="H203" s="41"/>
      <c r="I203" s="41"/>
      <c r="J203" s="41"/>
      <c r="K203" s="41"/>
      <c r="L203" s="33"/>
      <c r="N203" s="1">
        <v>170</v>
      </c>
      <c r="O203" s="2" t="s">
        <v>48</v>
      </c>
      <c r="P203" s="2" t="s">
        <v>49</v>
      </c>
      <c r="Q203" s="14">
        <v>44331</v>
      </c>
      <c r="R203" s="14">
        <v>44602</v>
      </c>
      <c r="S203" s="2">
        <v>0.25800644</v>
      </c>
      <c r="T203" s="2">
        <v>0.60630249999999997</v>
      </c>
      <c r="U203" s="2" t="s">
        <v>43</v>
      </c>
      <c r="V203" s="2" t="s">
        <v>43</v>
      </c>
    </row>
    <row r="204" spans="2:22" x14ac:dyDescent="0.2">
      <c r="B204" s="33"/>
      <c r="D204" s="38"/>
      <c r="E204" s="38"/>
      <c r="F204" s="46"/>
      <c r="G204" s="46"/>
      <c r="H204" s="41"/>
      <c r="I204" s="41"/>
      <c r="J204" s="41"/>
      <c r="K204" s="41"/>
      <c r="L204" s="33"/>
      <c r="N204" s="1">
        <v>171</v>
      </c>
      <c r="O204" s="2" t="s">
        <v>48</v>
      </c>
      <c r="P204" s="2" t="s">
        <v>152</v>
      </c>
      <c r="Q204" s="14">
        <v>44416</v>
      </c>
      <c r="R204" s="14">
        <v>44624</v>
      </c>
      <c r="S204" s="2">
        <v>0.20476762000000001</v>
      </c>
      <c r="T204" s="2">
        <v>0.4533548</v>
      </c>
      <c r="U204" s="2" t="s">
        <v>43</v>
      </c>
      <c r="V204" s="2" t="s">
        <v>43</v>
      </c>
    </row>
    <row r="205" spans="2:22" x14ac:dyDescent="0.2">
      <c r="B205" s="33"/>
      <c r="D205" s="38"/>
      <c r="E205" s="38"/>
      <c r="F205" s="46"/>
      <c r="G205" s="46"/>
      <c r="H205" s="41"/>
      <c r="I205" s="41"/>
      <c r="J205" s="41"/>
      <c r="K205" s="41"/>
      <c r="L205" s="33"/>
      <c r="N205" s="1">
        <v>172</v>
      </c>
      <c r="O205" s="2" t="s">
        <v>48</v>
      </c>
      <c r="P205" s="2" t="s">
        <v>18</v>
      </c>
      <c r="Q205" s="14">
        <v>44524</v>
      </c>
      <c r="R205" s="14">
        <v>44746</v>
      </c>
      <c r="S205" s="2">
        <v>0.42519624</v>
      </c>
      <c r="T205" s="2">
        <v>0.63999280000000003</v>
      </c>
      <c r="U205" s="2" t="s">
        <v>45</v>
      </c>
      <c r="V205" s="2" t="s">
        <v>45</v>
      </c>
    </row>
    <row r="206" spans="2:22" x14ac:dyDescent="0.2">
      <c r="B206" s="33"/>
      <c r="D206" s="38"/>
      <c r="E206" s="38"/>
      <c r="F206" s="46"/>
      <c r="G206" s="46"/>
      <c r="H206" s="41"/>
      <c r="I206" s="41"/>
      <c r="J206" s="41"/>
      <c r="K206" s="41"/>
      <c r="L206" s="33"/>
      <c r="N206" s="1">
        <v>173</v>
      </c>
      <c r="O206" s="2" t="s">
        <v>48</v>
      </c>
      <c r="P206" s="2" t="s">
        <v>22</v>
      </c>
      <c r="Q206" s="14">
        <v>44559</v>
      </c>
      <c r="R206" s="14">
        <v>45000</v>
      </c>
      <c r="S206" s="2">
        <v>0.20758124</v>
      </c>
      <c r="T206" s="2">
        <v>0.3324608</v>
      </c>
      <c r="U206" s="2" t="s">
        <v>43</v>
      </c>
      <c r="V206" s="2" t="s">
        <v>43</v>
      </c>
    </row>
    <row r="207" spans="2:22" x14ac:dyDescent="0.2">
      <c r="B207" s="33"/>
      <c r="D207" s="38"/>
      <c r="E207" s="38"/>
      <c r="F207" s="46"/>
      <c r="G207" s="46"/>
      <c r="H207" s="41"/>
      <c r="I207" s="41"/>
      <c r="J207" s="41"/>
      <c r="K207" s="41"/>
      <c r="L207" s="33"/>
      <c r="N207" s="1">
        <v>174</v>
      </c>
      <c r="O207" s="2" t="s">
        <v>48</v>
      </c>
      <c r="P207" s="2" t="s">
        <v>26</v>
      </c>
      <c r="Q207" s="14">
        <v>44691</v>
      </c>
      <c r="R207" s="14">
        <v>45031</v>
      </c>
      <c r="S207" s="2">
        <v>0.13440408000000001</v>
      </c>
      <c r="T207" s="2">
        <v>0.2443496</v>
      </c>
      <c r="U207" s="2" t="s">
        <v>45</v>
      </c>
      <c r="V207" s="2" t="s">
        <v>43</v>
      </c>
    </row>
    <row r="208" spans="2:22" x14ac:dyDescent="0.2">
      <c r="B208" s="33"/>
      <c r="D208" s="38"/>
      <c r="E208" s="38"/>
      <c r="F208" s="46"/>
      <c r="G208" s="46"/>
      <c r="H208" s="41"/>
      <c r="I208" s="41"/>
      <c r="J208" s="41"/>
      <c r="K208" s="41"/>
      <c r="L208" s="33"/>
      <c r="N208" s="1">
        <v>175</v>
      </c>
      <c r="O208" s="2" t="s">
        <v>48</v>
      </c>
      <c r="P208" s="2" t="s">
        <v>25</v>
      </c>
      <c r="Q208" s="14">
        <v>44692</v>
      </c>
      <c r="R208" s="14">
        <v>45313</v>
      </c>
      <c r="S208" s="2">
        <v>0.23622291000000001</v>
      </c>
      <c r="T208" s="2">
        <v>0.38716840000000002</v>
      </c>
      <c r="U208" s="2" t="s">
        <v>43</v>
      </c>
      <c r="V208" s="2" t="s">
        <v>43</v>
      </c>
    </row>
    <row r="209" spans="2:22" x14ac:dyDescent="0.2">
      <c r="B209" s="33"/>
      <c r="D209" s="38"/>
      <c r="E209" s="38"/>
      <c r="F209" s="46"/>
      <c r="G209" s="46"/>
      <c r="H209" s="41"/>
      <c r="I209" s="41"/>
      <c r="J209" s="41"/>
      <c r="K209" s="41"/>
      <c r="L209" s="33"/>
      <c r="N209" s="1">
        <v>176</v>
      </c>
      <c r="O209" s="2" t="s">
        <v>48</v>
      </c>
      <c r="P209" s="2" t="s">
        <v>38</v>
      </c>
      <c r="Q209" s="14">
        <v>44888</v>
      </c>
      <c r="R209" s="14">
        <v>45271</v>
      </c>
      <c r="S209" s="2">
        <v>0.13767728000000001</v>
      </c>
      <c r="T209" s="2">
        <v>0.20545240000000001</v>
      </c>
      <c r="U209" s="2" t="s">
        <v>43</v>
      </c>
      <c r="V209" s="2" t="s">
        <v>43</v>
      </c>
    </row>
    <row r="210" spans="2:22" x14ac:dyDescent="0.2">
      <c r="B210" s="33"/>
      <c r="D210" s="38"/>
      <c r="E210" s="38"/>
      <c r="F210" s="46"/>
      <c r="G210" s="46"/>
      <c r="H210" s="41"/>
      <c r="I210" s="41"/>
      <c r="J210" s="41"/>
      <c r="K210" s="41"/>
      <c r="L210" s="33"/>
      <c r="N210" s="1">
        <v>177</v>
      </c>
      <c r="O210" s="2" t="s">
        <v>48</v>
      </c>
      <c r="P210" s="2" t="s">
        <v>367</v>
      </c>
      <c r="Q210" s="14">
        <v>45062</v>
      </c>
      <c r="R210" s="14">
        <v>45378</v>
      </c>
      <c r="S210" s="2">
        <v>0.14053526</v>
      </c>
      <c r="T210" s="2">
        <v>0.228547</v>
      </c>
      <c r="U210" s="2" t="s">
        <v>43</v>
      </c>
      <c r="V210" s="2" t="s">
        <v>43</v>
      </c>
    </row>
    <row r="211" spans="2:22" x14ac:dyDescent="0.2">
      <c r="B211" s="33"/>
      <c r="D211" s="38"/>
      <c r="E211" s="38"/>
      <c r="F211" s="46"/>
      <c r="G211" s="46"/>
      <c r="H211" s="41"/>
      <c r="I211" s="41"/>
      <c r="J211" s="41"/>
      <c r="K211" s="41"/>
      <c r="L211" s="33"/>
      <c r="N211" s="1">
        <v>178</v>
      </c>
      <c r="O211" s="2" t="s">
        <v>48</v>
      </c>
      <c r="P211" s="2" t="s">
        <v>30</v>
      </c>
      <c r="Q211" s="14">
        <v>45111</v>
      </c>
      <c r="R211" s="14">
        <v>45397</v>
      </c>
      <c r="S211" s="2">
        <v>0.24535665000000001</v>
      </c>
      <c r="T211" s="2">
        <v>0.60618000000000005</v>
      </c>
      <c r="U211" s="2" t="s">
        <v>43</v>
      </c>
      <c r="V211" s="2" t="s">
        <v>43</v>
      </c>
    </row>
    <row r="212" spans="2:22" x14ac:dyDescent="0.2">
      <c r="B212" s="33"/>
      <c r="D212" s="38"/>
      <c r="E212" s="38"/>
      <c r="F212" s="46"/>
      <c r="G212" s="46"/>
      <c r="H212" s="41"/>
      <c r="I212" s="41"/>
      <c r="J212" s="41"/>
      <c r="K212" s="41"/>
      <c r="L212" s="33"/>
      <c r="N212" s="1">
        <v>179</v>
      </c>
      <c r="O212" s="2" t="s">
        <v>48</v>
      </c>
      <c r="P212" s="2" t="s">
        <v>32</v>
      </c>
      <c r="Q212" s="14">
        <v>45223</v>
      </c>
      <c r="R212" s="14">
        <v>45410</v>
      </c>
      <c r="S212" s="2">
        <v>0.21276758000000001</v>
      </c>
      <c r="T212" s="2">
        <v>0.54583879999999996</v>
      </c>
      <c r="U212" s="2" t="s">
        <v>45</v>
      </c>
      <c r="V212" s="2" t="s">
        <v>43</v>
      </c>
    </row>
    <row r="213" spans="2:22" x14ac:dyDescent="0.2">
      <c r="B213" s="33"/>
      <c r="D213" s="38"/>
      <c r="E213" s="38"/>
      <c r="F213" s="46"/>
      <c r="G213" s="46"/>
      <c r="H213" s="41"/>
      <c r="I213" s="41"/>
      <c r="J213" s="41"/>
      <c r="K213" s="41"/>
      <c r="L213" s="33"/>
      <c r="N213" s="1">
        <v>180</v>
      </c>
      <c r="O213" s="2" t="s">
        <v>82</v>
      </c>
      <c r="P213" s="2" t="s">
        <v>166</v>
      </c>
      <c r="Q213" s="14">
        <v>43948</v>
      </c>
      <c r="R213" s="14">
        <v>44536</v>
      </c>
      <c r="S213" s="2">
        <v>0.14538071</v>
      </c>
      <c r="T213" s="2">
        <v>0.48164859999999998</v>
      </c>
      <c r="U213" s="2" t="s">
        <v>45</v>
      </c>
      <c r="V213" s="2" t="s">
        <v>43</v>
      </c>
    </row>
    <row r="214" spans="2:22" x14ac:dyDescent="0.2">
      <c r="B214" s="33"/>
      <c r="D214" s="38"/>
      <c r="E214" s="38"/>
      <c r="F214" s="46"/>
      <c r="G214" s="46"/>
      <c r="H214" s="41"/>
      <c r="I214" s="41"/>
      <c r="J214" s="41"/>
      <c r="K214" s="41"/>
      <c r="L214" s="33"/>
      <c r="N214" s="1">
        <v>181</v>
      </c>
      <c r="O214" s="2" t="s">
        <v>82</v>
      </c>
      <c r="P214" s="2" t="s">
        <v>15</v>
      </c>
      <c r="Q214" s="14">
        <v>43948</v>
      </c>
      <c r="R214" s="14">
        <v>45077</v>
      </c>
      <c r="S214" s="2">
        <v>0.13402771999999999</v>
      </c>
      <c r="T214" s="2">
        <v>0.21790109999999999</v>
      </c>
      <c r="U214" s="2" t="s">
        <v>43</v>
      </c>
      <c r="V214" s="2" t="s">
        <v>43</v>
      </c>
    </row>
    <row r="215" spans="2:22" x14ac:dyDescent="0.2">
      <c r="B215" s="33"/>
      <c r="D215" s="38"/>
      <c r="E215" s="38"/>
      <c r="F215" s="46"/>
      <c r="G215" s="46"/>
      <c r="H215" s="41"/>
      <c r="I215" s="41"/>
      <c r="J215" s="41"/>
      <c r="K215" s="41"/>
      <c r="L215" s="33"/>
      <c r="N215" s="1">
        <v>182</v>
      </c>
      <c r="O215" s="2" t="s">
        <v>82</v>
      </c>
      <c r="P215" s="2" t="s">
        <v>167</v>
      </c>
      <c r="Q215" s="14">
        <v>43949</v>
      </c>
      <c r="R215" s="14">
        <v>44751</v>
      </c>
      <c r="S215" s="2">
        <v>0.20414623000000001</v>
      </c>
      <c r="T215" s="2">
        <v>0.43769999999999998</v>
      </c>
      <c r="U215" s="2" t="s">
        <v>45</v>
      </c>
      <c r="V215" s="2" t="s">
        <v>43</v>
      </c>
    </row>
    <row r="216" spans="2:22" x14ac:dyDescent="0.2">
      <c r="B216" s="33"/>
      <c r="D216" s="38"/>
      <c r="E216" s="38"/>
      <c r="F216" s="46"/>
      <c r="G216" s="46"/>
      <c r="H216" s="41"/>
      <c r="I216" s="41"/>
      <c r="J216" s="41"/>
      <c r="K216" s="41"/>
      <c r="L216" s="33"/>
      <c r="N216" s="1">
        <v>183</v>
      </c>
      <c r="O216" s="2" t="s">
        <v>82</v>
      </c>
      <c r="P216" s="2" t="s">
        <v>9</v>
      </c>
      <c r="Q216" s="14">
        <v>43952</v>
      </c>
      <c r="R216" s="14">
        <v>44935</v>
      </c>
      <c r="S216" s="2">
        <v>0.48014236999999999</v>
      </c>
      <c r="T216" s="2">
        <v>0.87448150000000002</v>
      </c>
      <c r="U216" s="2" t="s">
        <v>43</v>
      </c>
      <c r="V216" s="2" t="s">
        <v>43</v>
      </c>
    </row>
    <row r="217" spans="2:22" x14ac:dyDescent="0.2">
      <c r="B217" s="33"/>
      <c r="D217" s="38"/>
      <c r="E217" s="38"/>
      <c r="F217" s="46"/>
      <c r="G217" s="46"/>
      <c r="H217" s="41"/>
      <c r="I217" s="41"/>
      <c r="J217" s="41"/>
      <c r="K217" s="41"/>
      <c r="L217" s="33"/>
      <c r="N217" s="1">
        <v>184</v>
      </c>
      <c r="O217" s="2" t="s">
        <v>82</v>
      </c>
      <c r="P217" s="2" t="s">
        <v>374</v>
      </c>
      <c r="Q217" s="14">
        <v>44009</v>
      </c>
      <c r="R217" s="14">
        <v>44501</v>
      </c>
      <c r="S217" s="2">
        <v>0.16683667999999999</v>
      </c>
      <c r="T217" s="2">
        <v>0.28499600000000003</v>
      </c>
      <c r="U217" s="2" t="s">
        <v>45</v>
      </c>
      <c r="V217" s="2" t="s">
        <v>43</v>
      </c>
    </row>
    <row r="218" spans="2:22" x14ac:dyDescent="0.2">
      <c r="B218" s="33"/>
      <c r="D218" s="38"/>
      <c r="E218" s="38"/>
      <c r="F218" s="46"/>
      <c r="G218" s="46"/>
      <c r="H218" s="41"/>
      <c r="I218" s="41"/>
      <c r="J218" s="41"/>
      <c r="K218" s="41"/>
      <c r="L218" s="33"/>
      <c r="N218" s="1">
        <v>185</v>
      </c>
      <c r="O218" s="2" t="s">
        <v>82</v>
      </c>
      <c r="P218" s="2" t="s">
        <v>20</v>
      </c>
      <c r="Q218" s="14">
        <v>44044</v>
      </c>
      <c r="R218" s="14">
        <v>45301</v>
      </c>
      <c r="S218" s="2">
        <v>0.48477863999999998</v>
      </c>
      <c r="T218" s="2">
        <v>0.74231899999999995</v>
      </c>
      <c r="U218" s="2" t="s">
        <v>43</v>
      </c>
      <c r="V218" s="2" t="s">
        <v>43</v>
      </c>
    </row>
    <row r="219" spans="2:22" x14ac:dyDescent="0.2">
      <c r="B219" s="33"/>
      <c r="D219" s="38"/>
      <c r="E219" s="38"/>
      <c r="F219" s="46"/>
      <c r="G219" s="46"/>
      <c r="H219" s="41"/>
      <c r="I219" s="41"/>
      <c r="J219" s="41"/>
      <c r="K219" s="41"/>
      <c r="L219" s="33"/>
      <c r="N219" s="1">
        <v>186</v>
      </c>
      <c r="O219" s="2" t="s">
        <v>82</v>
      </c>
      <c r="P219" s="2" t="s">
        <v>83</v>
      </c>
      <c r="Q219" s="14">
        <v>44051</v>
      </c>
      <c r="R219" s="14">
        <v>45019</v>
      </c>
      <c r="S219" s="2">
        <v>0.24307403999999999</v>
      </c>
      <c r="T219" s="2">
        <v>0.2344397</v>
      </c>
      <c r="U219" s="2" t="s">
        <v>45</v>
      </c>
      <c r="V219" s="2" t="s">
        <v>43</v>
      </c>
    </row>
    <row r="220" spans="2:22" x14ac:dyDescent="0.2">
      <c r="B220" s="33"/>
      <c r="D220" s="38"/>
      <c r="E220" s="38"/>
      <c r="F220" s="46"/>
      <c r="G220" s="46"/>
      <c r="H220" s="41"/>
      <c r="I220" s="41"/>
      <c r="J220" s="41"/>
      <c r="K220" s="41"/>
      <c r="L220" s="33"/>
      <c r="N220" s="1">
        <v>187</v>
      </c>
      <c r="O220" s="2" t="s">
        <v>82</v>
      </c>
      <c r="P220" s="2" t="s">
        <v>375</v>
      </c>
      <c r="Q220" s="14">
        <v>44051</v>
      </c>
      <c r="R220" s="14">
        <v>44998</v>
      </c>
      <c r="S220" s="2">
        <v>0.24307403999999999</v>
      </c>
      <c r="T220" s="2">
        <v>0.25611879999999998</v>
      </c>
      <c r="U220" s="2" t="s">
        <v>45</v>
      </c>
      <c r="V220" s="2" t="s">
        <v>45</v>
      </c>
    </row>
    <row r="221" spans="2:22" x14ac:dyDescent="0.2">
      <c r="B221" s="33"/>
      <c r="D221" s="38"/>
      <c r="E221" s="38"/>
      <c r="F221" s="46"/>
      <c r="G221" s="46"/>
      <c r="H221" s="41"/>
      <c r="I221" s="41"/>
      <c r="J221" s="41"/>
      <c r="K221" s="41"/>
      <c r="L221" s="33"/>
      <c r="N221" s="1">
        <v>188</v>
      </c>
      <c r="O221" s="2" t="s">
        <v>82</v>
      </c>
      <c r="P221" s="2" t="s">
        <v>36</v>
      </c>
      <c r="Q221" s="14">
        <v>44131</v>
      </c>
      <c r="R221" s="14">
        <v>44526</v>
      </c>
      <c r="S221" s="2">
        <v>0.20703049000000001</v>
      </c>
      <c r="T221" s="2">
        <v>0.27609470000000003</v>
      </c>
      <c r="U221" s="2" t="s">
        <v>45</v>
      </c>
      <c r="V221" s="2" t="s">
        <v>45</v>
      </c>
    </row>
    <row r="222" spans="2:22" x14ac:dyDescent="0.2">
      <c r="B222" s="33"/>
      <c r="D222" s="38"/>
      <c r="E222" s="38"/>
      <c r="F222" s="46"/>
      <c r="G222" s="46"/>
      <c r="H222" s="41"/>
      <c r="I222" s="41"/>
      <c r="J222" s="41"/>
      <c r="K222" s="41"/>
      <c r="L222" s="33"/>
      <c r="N222" s="1">
        <v>189</v>
      </c>
      <c r="O222" s="2" t="s">
        <v>82</v>
      </c>
      <c r="P222" s="2" t="s">
        <v>376</v>
      </c>
      <c r="Q222" s="14">
        <v>44166</v>
      </c>
      <c r="R222" s="14">
        <v>44687</v>
      </c>
      <c r="S222" s="2">
        <v>0.22784256</v>
      </c>
      <c r="T222" s="2">
        <v>0.200018</v>
      </c>
      <c r="U222" s="2" t="s">
        <v>45</v>
      </c>
      <c r="V222" s="2" t="s">
        <v>45</v>
      </c>
    </row>
    <row r="223" spans="2:22" x14ac:dyDescent="0.2">
      <c r="B223" s="33"/>
      <c r="D223" s="38"/>
      <c r="E223" s="38"/>
      <c r="F223" s="46"/>
      <c r="G223" s="46"/>
      <c r="H223" s="41"/>
      <c r="I223" s="41"/>
      <c r="J223" s="41"/>
      <c r="K223" s="41"/>
      <c r="L223" s="33"/>
      <c r="N223" s="1">
        <v>190</v>
      </c>
      <c r="O223" s="2" t="s">
        <v>82</v>
      </c>
      <c r="P223" s="2" t="s">
        <v>21</v>
      </c>
      <c r="Q223" s="14">
        <v>44446</v>
      </c>
      <c r="R223" s="14">
        <v>45035</v>
      </c>
      <c r="S223" s="2">
        <v>0.36427557999999999</v>
      </c>
      <c r="T223" s="2">
        <v>0.48109970000000002</v>
      </c>
      <c r="U223" s="2" t="s">
        <v>43</v>
      </c>
      <c r="V223" s="2" t="s">
        <v>43</v>
      </c>
    </row>
    <row r="224" spans="2:22" x14ac:dyDescent="0.2">
      <c r="B224" s="33"/>
      <c r="D224" s="38"/>
      <c r="E224" s="38"/>
      <c r="F224" s="46"/>
      <c r="G224" s="46"/>
      <c r="H224" s="41"/>
      <c r="I224" s="41"/>
      <c r="J224" s="41"/>
      <c r="K224" s="41"/>
      <c r="L224" s="33"/>
      <c r="N224" s="1">
        <v>191</v>
      </c>
      <c r="O224" s="2" t="s">
        <v>82</v>
      </c>
      <c r="P224" s="2" t="s">
        <v>84</v>
      </c>
      <c r="Q224" s="14">
        <v>44568</v>
      </c>
      <c r="R224" s="14">
        <v>44828</v>
      </c>
      <c r="S224" s="2">
        <v>0.21364588000000001</v>
      </c>
      <c r="T224" s="2">
        <v>0.44889180000000001</v>
      </c>
      <c r="U224" s="2" t="s">
        <v>43</v>
      </c>
      <c r="V224" s="2" t="s">
        <v>43</v>
      </c>
    </row>
    <row r="225" spans="2:22" x14ac:dyDescent="0.2">
      <c r="B225" s="33"/>
      <c r="D225" s="38"/>
      <c r="E225" s="38"/>
      <c r="F225" s="46"/>
      <c r="G225" s="46"/>
      <c r="H225" s="41"/>
      <c r="I225" s="41"/>
      <c r="J225" s="41"/>
      <c r="K225" s="41"/>
      <c r="L225" s="33"/>
      <c r="N225" s="1">
        <v>192</v>
      </c>
      <c r="O225" s="2" t="s">
        <v>82</v>
      </c>
      <c r="P225" s="2" t="s">
        <v>377</v>
      </c>
      <c r="Q225" s="14">
        <v>44569</v>
      </c>
      <c r="R225" s="14">
        <v>45159</v>
      </c>
      <c r="S225" s="2">
        <v>0.14551787999999999</v>
      </c>
      <c r="T225" s="2">
        <v>0.24258250000000001</v>
      </c>
      <c r="U225" s="2" t="s">
        <v>43</v>
      </c>
      <c r="V225" s="2" t="s">
        <v>43</v>
      </c>
    </row>
    <row r="226" spans="2:22" x14ac:dyDescent="0.2">
      <c r="B226" s="33"/>
      <c r="D226" s="38"/>
      <c r="E226" s="38"/>
      <c r="F226" s="46"/>
      <c r="G226" s="46"/>
      <c r="H226" s="41"/>
      <c r="I226" s="41"/>
      <c r="J226" s="41"/>
      <c r="K226" s="41"/>
      <c r="L226" s="33"/>
      <c r="N226" s="1">
        <v>193</v>
      </c>
      <c r="O226" s="2" t="s">
        <v>82</v>
      </c>
      <c r="P226" s="2" t="s">
        <v>85</v>
      </c>
      <c r="Q226" s="14">
        <v>44711</v>
      </c>
      <c r="R226" s="14">
        <v>45215</v>
      </c>
      <c r="S226" s="2">
        <v>0.20035939</v>
      </c>
      <c r="T226" s="2">
        <v>0.38735190000000003</v>
      </c>
      <c r="U226" s="2" t="s">
        <v>43</v>
      </c>
      <c r="V226" s="2" t="s">
        <v>43</v>
      </c>
    </row>
    <row r="227" spans="2:22" x14ac:dyDescent="0.2">
      <c r="B227" s="33"/>
      <c r="D227" s="38"/>
      <c r="E227" s="38"/>
      <c r="F227" s="46"/>
      <c r="G227" s="46"/>
      <c r="H227" s="41"/>
      <c r="I227" s="41"/>
      <c r="J227" s="41"/>
      <c r="K227" s="41"/>
      <c r="L227" s="33"/>
      <c r="N227" s="1">
        <v>194</v>
      </c>
      <c r="O227" s="2" t="s">
        <v>82</v>
      </c>
      <c r="P227" s="2" t="s">
        <v>378</v>
      </c>
      <c r="Q227" s="14">
        <v>44808</v>
      </c>
      <c r="R227" s="14">
        <v>45267</v>
      </c>
      <c r="S227" s="2">
        <v>0.16526850000000001</v>
      </c>
      <c r="T227" s="2">
        <v>0.2573821</v>
      </c>
      <c r="U227" s="2" t="s">
        <v>43</v>
      </c>
      <c r="V227" s="2" t="s">
        <v>43</v>
      </c>
    </row>
    <row r="228" spans="2:22" x14ac:dyDescent="0.2">
      <c r="B228" s="33"/>
      <c r="D228" s="38"/>
      <c r="E228" s="38"/>
      <c r="F228" s="46"/>
      <c r="G228" s="46"/>
      <c r="H228" s="41"/>
      <c r="I228" s="41"/>
      <c r="J228" s="41"/>
      <c r="K228" s="41"/>
      <c r="L228" s="33"/>
      <c r="N228" s="1">
        <v>195</v>
      </c>
      <c r="O228" s="2" t="s">
        <v>82</v>
      </c>
      <c r="P228" s="2" t="s">
        <v>38</v>
      </c>
      <c r="Q228" s="14">
        <v>44873</v>
      </c>
      <c r="R228" s="14">
        <v>45261</v>
      </c>
      <c r="S228" s="2">
        <v>0.27875694000000001</v>
      </c>
      <c r="T228" s="2">
        <v>0.28591270000000002</v>
      </c>
      <c r="U228" s="2" t="s">
        <v>45</v>
      </c>
      <c r="V228" s="2" t="s">
        <v>45</v>
      </c>
    </row>
    <row r="229" spans="2:22" x14ac:dyDescent="0.2">
      <c r="B229" s="33"/>
      <c r="D229" s="38"/>
      <c r="E229" s="38"/>
      <c r="F229" s="46"/>
      <c r="G229" s="46"/>
      <c r="H229" s="41"/>
      <c r="I229" s="41"/>
      <c r="J229" s="41"/>
      <c r="K229" s="41"/>
      <c r="L229" s="33"/>
      <c r="N229" s="1">
        <v>196</v>
      </c>
      <c r="O229" s="2" t="s">
        <v>82</v>
      </c>
      <c r="P229" s="2" t="s">
        <v>379</v>
      </c>
      <c r="Q229" s="14">
        <v>44904</v>
      </c>
      <c r="R229" s="14">
        <v>45295</v>
      </c>
      <c r="S229" s="2">
        <v>0.28357216000000002</v>
      </c>
      <c r="T229" s="2">
        <v>0.63988100000000003</v>
      </c>
      <c r="U229" s="2" t="s">
        <v>43</v>
      </c>
      <c r="V229" s="2" t="s">
        <v>43</v>
      </c>
    </row>
    <row r="230" spans="2:22" x14ac:dyDescent="0.2">
      <c r="B230" s="33"/>
      <c r="D230" s="38"/>
      <c r="E230" s="38"/>
      <c r="F230" s="46"/>
      <c r="G230" s="46"/>
      <c r="H230" s="41"/>
      <c r="I230" s="41"/>
      <c r="J230" s="41"/>
      <c r="K230" s="41"/>
      <c r="L230" s="33"/>
      <c r="N230" s="1">
        <v>197</v>
      </c>
      <c r="O230" s="2" t="s">
        <v>82</v>
      </c>
      <c r="P230" s="2" t="s">
        <v>37</v>
      </c>
      <c r="Q230" s="14">
        <v>44930</v>
      </c>
      <c r="R230" s="14">
        <v>45299</v>
      </c>
      <c r="S230" s="2">
        <v>0.27802834999999998</v>
      </c>
      <c r="T230" s="2">
        <v>0.54347100000000004</v>
      </c>
      <c r="U230" s="2" t="s">
        <v>43</v>
      </c>
      <c r="V230" s="2" t="s">
        <v>43</v>
      </c>
    </row>
    <row r="231" spans="2:22" x14ac:dyDescent="0.2">
      <c r="B231" s="33"/>
      <c r="D231" s="38"/>
      <c r="E231" s="38"/>
      <c r="F231" s="46"/>
      <c r="G231" s="46"/>
      <c r="H231" s="41"/>
      <c r="I231" s="41"/>
      <c r="J231" s="41"/>
      <c r="K231" s="41"/>
      <c r="L231" s="33"/>
      <c r="N231" s="1">
        <v>198</v>
      </c>
      <c r="O231" s="2" t="s">
        <v>82</v>
      </c>
      <c r="P231" s="2" t="s">
        <v>380</v>
      </c>
      <c r="Q231" s="14">
        <v>44934</v>
      </c>
      <c r="R231" s="14">
        <v>45284</v>
      </c>
      <c r="S231" s="2">
        <v>0.21309522</v>
      </c>
      <c r="T231" s="2">
        <v>0.21156459999999999</v>
      </c>
      <c r="U231" s="2" t="s">
        <v>45</v>
      </c>
      <c r="V231" s="2" t="s">
        <v>45</v>
      </c>
    </row>
    <row r="232" spans="2:22" x14ac:dyDescent="0.2">
      <c r="B232" s="33"/>
      <c r="D232" s="38"/>
      <c r="E232" s="38"/>
      <c r="F232" s="46"/>
      <c r="G232" s="46"/>
      <c r="H232" s="41"/>
      <c r="I232" s="41"/>
      <c r="J232" s="41"/>
      <c r="K232" s="41"/>
      <c r="L232" s="33"/>
      <c r="N232" s="1">
        <v>199</v>
      </c>
      <c r="O232" s="2" t="s">
        <v>82</v>
      </c>
      <c r="P232" s="2" t="s">
        <v>381</v>
      </c>
      <c r="Q232" s="14">
        <v>45002</v>
      </c>
      <c r="R232" s="14">
        <v>45284</v>
      </c>
      <c r="S232" s="2">
        <v>0.11333728</v>
      </c>
      <c r="T232" s="2">
        <v>0.22679340000000001</v>
      </c>
      <c r="U232" s="2" t="s">
        <v>45</v>
      </c>
      <c r="V232" s="2" t="s">
        <v>45</v>
      </c>
    </row>
    <row r="233" spans="2:22" x14ac:dyDescent="0.2">
      <c r="B233" s="33"/>
      <c r="D233" s="38"/>
      <c r="E233" s="38"/>
      <c r="F233" s="46"/>
      <c r="G233" s="46"/>
      <c r="H233" s="41"/>
      <c r="I233" s="41"/>
      <c r="J233" s="41"/>
      <c r="K233" s="41"/>
      <c r="L233" s="33"/>
      <c r="N233" s="1">
        <v>200</v>
      </c>
      <c r="O233" s="2" t="s">
        <v>86</v>
      </c>
      <c r="P233" s="2" t="s">
        <v>124</v>
      </c>
      <c r="Q233" s="14">
        <v>43885</v>
      </c>
      <c r="R233" s="14">
        <v>44548</v>
      </c>
      <c r="S233" s="2">
        <v>0.14449838000000001</v>
      </c>
      <c r="T233" s="2">
        <v>0.23509569999999999</v>
      </c>
      <c r="U233" s="2" t="s">
        <v>45</v>
      </c>
      <c r="V233" s="2" t="s">
        <v>45</v>
      </c>
    </row>
    <row r="234" spans="2:22" x14ac:dyDescent="0.2">
      <c r="B234" s="33"/>
      <c r="D234" s="38"/>
      <c r="E234" s="38"/>
      <c r="F234" s="46"/>
      <c r="G234" s="46"/>
      <c r="H234" s="41"/>
      <c r="I234" s="41"/>
      <c r="J234" s="41"/>
      <c r="K234" s="41"/>
      <c r="L234" s="33"/>
      <c r="N234" s="1">
        <v>201</v>
      </c>
      <c r="O234" s="2" t="s">
        <v>86</v>
      </c>
      <c r="P234" s="2" t="s">
        <v>36</v>
      </c>
      <c r="Q234" s="14">
        <v>43896</v>
      </c>
      <c r="R234" s="14">
        <v>44628</v>
      </c>
      <c r="S234" s="2">
        <v>0.38490533999999998</v>
      </c>
      <c r="T234" s="2">
        <v>0.83583450000000004</v>
      </c>
      <c r="U234" s="2" t="s">
        <v>43</v>
      </c>
      <c r="V234" s="2" t="s">
        <v>43</v>
      </c>
    </row>
    <row r="235" spans="2:22" x14ac:dyDescent="0.2">
      <c r="B235" s="33"/>
      <c r="D235" s="38"/>
      <c r="E235" s="38"/>
      <c r="F235" s="46"/>
      <c r="G235" s="46"/>
      <c r="H235" s="41"/>
      <c r="I235" s="41"/>
      <c r="J235" s="41"/>
      <c r="K235" s="41"/>
      <c r="L235" s="33"/>
      <c r="N235" s="1">
        <v>202</v>
      </c>
      <c r="O235" s="2" t="s">
        <v>86</v>
      </c>
      <c r="P235" s="2" t="s">
        <v>24</v>
      </c>
      <c r="Q235" s="14">
        <v>44032</v>
      </c>
      <c r="R235" s="14">
        <v>45156</v>
      </c>
      <c r="S235" s="2">
        <v>0.20323327999999999</v>
      </c>
      <c r="T235" s="2">
        <v>0.36804720000000002</v>
      </c>
      <c r="U235" s="2" t="s">
        <v>43</v>
      </c>
      <c r="V235" s="2" t="s">
        <v>43</v>
      </c>
    </row>
    <row r="236" spans="2:22" x14ac:dyDescent="0.2">
      <c r="B236" s="33"/>
      <c r="D236" s="38"/>
      <c r="E236" s="38"/>
      <c r="F236" s="46"/>
      <c r="G236" s="46"/>
      <c r="H236" s="41"/>
      <c r="I236" s="41"/>
      <c r="J236" s="41"/>
      <c r="K236" s="41"/>
      <c r="L236" s="33"/>
      <c r="N236" s="1">
        <v>203</v>
      </c>
      <c r="O236" s="2" t="s">
        <v>86</v>
      </c>
      <c r="P236" s="2" t="s">
        <v>25</v>
      </c>
      <c r="Q236" s="14">
        <v>44032</v>
      </c>
      <c r="R236" s="14">
        <v>45273</v>
      </c>
      <c r="S236" s="2">
        <v>0.17786880999999999</v>
      </c>
      <c r="T236" s="2">
        <v>0.29550880000000002</v>
      </c>
      <c r="U236" s="2" t="s">
        <v>43</v>
      </c>
      <c r="V236" s="2" t="s">
        <v>43</v>
      </c>
    </row>
    <row r="237" spans="2:22" x14ac:dyDescent="0.2">
      <c r="B237" s="33"/>
      <c r="D237" s="38"/>
      <c r="E237" s="38"/>
      <c r="F237" s="46"/>
      <c r="G237" s="46"/>
      <c r="H237" s="41"/>
      <c r="I237" s="41"/>
      <c r="J237" s="41"/>
      <c r="K237" s="41"/>
      <c r="L237" s="33"/>
      <c r="N237" s="1">
        <v>204</v>
      </c>
      <c r="O237" s="2" t="s">
        <v>86</v>
      </c>
      <c r="P237" s="2" t="s">
        <v>20</v>
      </c>
      <c r="Q237" s="14">
        <v>44034</v>
      </c>
      <c r="R237" s="14">
        <v>45311</v>
      </c>
      <c r="S237" s="2">
        <v>0.29993027999999999</v>
      </c>
      <c r="T237" s="2">
        <v>0.76665970000000006</v>
      </c>
      <c r="U237" s="2" t="s">
        <v>43</v>
      </c>
      <c r="V237" s="2" t="s">
        <v>43</v>
      </c>
    </row>
    <row r="238" spans="2:22" x14ac:dyDescent="0.2">
      <c r="B238" s="33"/>
      <c r="D238" s="38"/>
      <c r="E238" s="38"/>
      <c r="F238" s="46"/>
      <c r="G238" s="46"/>
      <c r="H238" s="41"/>
      <c r="I238" s="41"/>
      <c r="J238" s="41"/>
      <c r="K238" s="41"/>
      <c r="L238" s="33"/>
      <c r="N238" s="1">
        <v>205</v>
      </c>
      <c r="O238" s="2" t="s">
        <v>86</v>
      </c>
      <c r="P238" s="2" t="s">
        <v>366</v>
      </c>
      <c r="Q238" s="14">
        <v>44195</v>
      </c>
      <c r="R238" s="14">
        <v>45048</v>
      </c>
      <c r="S238" s="2">
        <v>0.29096567000000001</v>
      </c>
      <c r="T238" s="2">
        <v>0.23291999999999999</v>
      </c>
      <c r="U238" s="2" t="s">
        <v>45</v>
      </c>
      <c r="V238" s="2" t="s">
        <v>45</v>
      </c>
    </row>
    <row r="239" spans="2:22" x14ac:dyDescent="0.2">
      <c r="B239" s="33"/>
      <c r="D239" s="38"/>
      <c r="E239" s="38"/>
      <c r="F239" s="46"/>
      <c r="G239" s="46"/>
      <c r="H239" s="41"/>
      <c r="I239" s="41"/>
      <c r="J239" s="41"/>
      <c r="K239" s="41"/>
      <c r="L239" s="33"/>
      <c r="N239" s="1">
        <v>206</v>
      </c>
      <c r="O239" s="2" t="s">
        <v>86</v>
      </c>
      <c r="P239" s="2" t="s">
        <v>13</v>
      </c>
      <c r="Q239" s="14">
        <v>44199</v>
      </c>
      <c r="R239" s="14">
        <v>44608</v>
      </c>
      <c r="S239" s="2">
        <v>0.25516018000000001</v>
      </c>
      <c r="T239" s="2">
        <v>0.21772939999999999</v>
      </c>
      <c r="U239" s="2" t="s">
        <v>43</v>
      </c>
      <c r="V239" s="2" t="s">
        <v>43</v>
      </c>
    </row>
    <row r="240" spans="2:22" x14ac:dyDescent="0.2">
      <c r="B240" s="33"/>
      <c r="D240" s="38"/>
      <c r="E240" s="38"/>
      <c r="F240" s="46"/>
      <c r="G240" s="46"/>
      <c r="H240" s="41"/>
      <c r="I240" s="41"/>
      <c r="J240" s="41"/>
      <c r="K240" s="41"/>
      <c r="L240" s="33"/>
      <c r="N240" s="1">
        <v>207</v>
      </c>
      <c r="O240" s="2" t="s">
        <v>86</v>
      </c>
      <c r="P240" s="2" t="s">
        <v>14</v>
      </c>
      <c r="Q240" s="14">
        <v>44199</v>
      </c>
      <c r="R240" s="14">
        <v>44636</v>
      </c>
      <c r="S240" s="2">
        <v>0.32100431000000001</v>
      </c>
      <c r="T240" s="2">
        <v>0.30887870000000001</v>
      </c>
      <c r="U240" s="2" t="s">
        <v>43</v>
      </c>
      <c r="V240" s="2" t="s">
        <v>43</v>
      </c>
    </row>
    <row r="241" spans="2:22" x14ac:dyDescent="0.2">
      <c r="B241" s="33"/>
      <c r="D241" s="38"/>
      <c r="E241" s="38"/>
      <c r="F241" s="46"/>
      <c r="G241" s="46"/>
      <c r="H241" s="41"/>
      <c r="I241" s="41"/>
      <c r="J241" s="41"/>
      <c r="K241" s="41"/>
      <c r="L241" s="33"/>
      <c r="N241" s="1">
        <v>208</v>
      </c>
      <c r="O241" s="2" t="s">
        <v>86</v>
      </c>
      <c r="P241" s="2" t="s">
        <v>18</v>
      </c>
      <c r="Q241" s="14">
        <v>44199</v>
      </c>
      <c r="R241" s="14">
        <v>45119</v>
      </c>
      <c r="S241" s="2">
        <v>0.21703458</v>
      </c>
      <c r="T241" s="2">
        <v>0.43035479999999998</v>
      </c>
      <c r="U241" s="2" t="s">
        <v>45</v>
      </c>
      <c r="V241" s="2" t="s">
        <v>43</v>
      </c>
    </row>
    <row r="242" spans="2:22" x14ac:dyDescent="0.2">
      <c r="B242" s="33"/>
      <c r="D242" s="38"/>
      <c r="E242" s="38"/>
      <c r="F242" s="46"/>
      <c r="G242" s="46"/>
      <c r="H242" s="41"/>
      <c r="I242" s="41"/>
      <c r="J242" s="41"/>
      <c r="K242" s="41"/>
      <c r="L242" s="33"/>
      <c r="N242" s="1">
        <v>209</v>
      </c>
      <c r="O242" s="2" t="s">
        <v>86</v>
      </c>
      <c r="P242" s="2" t="s">
        <v>28</v>
      </c>
      <c r="Q242" s="14">
        <v>44568</v>
      </c>
      <c r="R242" s="14">
        <v>45276</v>
      </c>
      <c r="S242" s="2">
        <v>0.24760940000000001</v>
      </c>
      <c r="T242" s="2">
        <v>0.51795860000000005</v>
      </c>
      <c r="U242" s="2" t="s">
        <v>43</v>
      </c>
      <c r="V242" s="2" t="s">
        <v>43</v>
      </c>
    </row>
    <row r="243" spans="2:22" x14ac:dyDescent="0.2">
      <c r="B243" s="33"/>
      <c r="D243" s="38"/>
      <c r="E243" s="38"/>
      <c r="F243" s="46"/>
      <c r="G243" s="46"/>
      <c r="H243" s="41"/>
      <c r="I243" s="41"/>
      <c r="J243" s="41"/>
      <c r="K243" s="41"/>
      <c r="L243" s="33"/>
      <c r="N243" s="1">
        <v>210</v>
      </c>
      <c r="O243" s="2" t="s">
        <v>86</v>
      </c>
      <c r="P243" s="2" t="s">
        <v>38</v>
      </c>
      <c r="Q243" s="14">
        <v>44611</v>
      </c>
      <c r="R243" s="14">
        <v>45303</v>
      </c>
      <c r="S243" s="2">
        <v>0.33581239000000002</v>
      </c>
      <c r="T243" s="2">
        <v>0.47519670000000003</v>
      </c>
      <c r="U243" s="2" t="s">
        <v>43</v>
      </c>
      <c r="V243" s="2" t="s">
        <v>43</v>
      </c>
    </row>
    <row r="244" spans="2:22" x14ac:dyDescent="0.2">
      <c r="B244" s="33"/>
      <c r="D244" s="38"/>
      <c r="E244" s="38"/>
      <c r="F244" s="46"/>
      <c r="G244" s="46"/>
      <c r="H244" s="41"/>
      <c r="I244" s="41"/>
      <c r="J244" s="41"/>
      <c r="K244" s="41"/>
      <c r="L244" s="33"/>
      <c r="N244" s="1">
        <v>211</v>
      </c>
      <c r="O244" s="2" t="s">
        <v>86</v>
      </c>
      <c r="P244" s="2" t="s">
        <v>37</v>
      </c>
      <c r="Q244" s="14">
        <v>44976</v>
      </c>
      <c r="R244" s="14">
        <v>45309</v>
      </c>
      <c r="S244" s="2">
        <v>0.23833716999999999</v>
      </c>
      <c r="T244" s="2">
        <v>0.2484681</v>
      </c>
      <c r="U244" s="2" t="s">
        <v>43</v>
      </c>
      <c r="V244" s="2" t="s">
        <v>43</v>
      </c>
    </row>
    <row r="245" spans="2:22" x14ac:dyDescent="0.2">
      <c r="B245" s="33"/>
      <c r="D245" s="38"/>
      <c r="E245" s="38"/>
      <c r="F245" s="46"/>
      <c r="G245" s="46"/>
      <c r="H245" s="41"/>
      <c r="I245" s="41"/>
      <c r="J245" s="41"/>
      <c r="K245" s="41"/>
      <c r="L245" s="33"/>
      <c r="N245" s="1">
        <v>212</v>
      </c>
      <c r="O245" s="2" t="s">
        <v>86</v>
      </c>
      <c r="P245" s="2" t="s">
        <v>32</v>
      </c>
      <c r="Q245" s="14">
        <v>45028</v>
      </c>
      <c r="R245" s="14">
        <v>45312</v>
      </c>
      <c r="S245" s="2">
        <v>0.29870136000000003</v>
      </c>
      <c r="T245" s="2">
        <v>0.2845935</v>
      </c>
      <c r="U245" s="2" t="s">
        <v>45</v>
      </c>
      <c r="V245" s="2" t="s">
        <v>45</v>
      </c>
    </row>
    <row r="246" spans="2:22" x14ac:dyDescent="0.2">
      <c r="B246" s="33"/>
      <c r="D246" s="38"/>
      <c r="E246" s="38"/>
      <c r="F246" s="46"/>
      <c r="G246" s="46"/>
      <c r="H246" s="41"/>
      <c r="I246" s="41"/>
      <c r="J246" s="41"/>
      <c r="K246" s="41"/>
      <c r="L246" s="33"/>
      <c r="N246" s="1">
        <v>213</v>
      </c>
      <c r="O246" s="2" t="s">
        <v>87</v>
      </c>
      <c r="P246" s="2" t="s">
        <v>9</v>
      </c>
      <c r="Q246" s="14">
        <v>44213</v>
      </c>
      <c r="R246" s="14">
        <v>44865</v>
      </c>
      <c r="S246" s="2">
        <v>0.42343587999999999</v>
      </c>
      <c r="T246" s="2">
        <v>0.85262839999999995</v>
      </c>
      <c r="U246" s="2" t="s">
        <v>45</v>
      </c>
      <c r="V246" s="2" t="s">
        <v>43</v>
      </c>
    </row>
    <row r="247" spans="2:22" x14ac:dyDescent="0.2">
      <c r="B247" s="33"/>
      <c r="D247" s="38"/>
      <c r="E247" s="38"/>
      <c r="F247" s="46"/>
      <c r="G247" s="46"/>
      <c r="H247" s="41"/>
      <c r="I247" s="41"/>
      <c r="J247" s="41"/>
      <c r="K247" s="41"/>
      <c r="L247" s="33"/>
      <c r="N247" s="1">
        <v>214</v>
      </c>
      <c r="O247" s="2" t="s">
        <v>87</v>
      </c>
      <c r="P247" s="2" t="s">
        <v>10</v>
      </c>
      <c r="Q247" s="14">
        <v>44312</v>
      </c>
      <c r="R247" s="14">
        <v>44789</v>
      </c>
      <c r="S247" s="2">
        <v>0.45724543000000001</v>
      </c>
      <c r="T247" s="2">
        <v>0.60704210000000003</v>
      </c>
      <c r="U247" s="2" t="s">
        <v>43</v>
      </c>
      <c r="V247" s="2" t="s">
        <v>43</v>
      </c>
    </row>
    <row r="248" spans="2:22" x14ac:dyDescent="0.2">
      <c r="B248" s="33"/>
      <c r="D248" s="38"/>
      <c r="E248" s="38"/>
      <c r="F248" s="46"/>
      <c r="G248" s="46"/>
      <c r="H248" s="41"/>
      <c r="I248" s="41"/>
      <c r="J248" s="41"/>
      <c r="K248" s="41"/>
      <c r="L248" s="33"/>
      <c r="N248" s="1">
        <v>215</v>
      </c>
      <c r="O248" s="2" t="s">
        <v>87</v>
      </c>
      <c r="P248" s="2" t="s">
        <v>14</v>
      </c>
      <c r="Q248" s="14">
        <v>44366</v>
      </c>
      <c r="R248" s="14">
        <v>44789</v>
      </c>
      <c r="S248" s="2">
        <v>0.15355582000000001</v>
      </c>
      <c r="T248" s="2">
        <v>0.24050869999999999</v>
      </c>
      <c r="U248" s="2" t="s">
        <v>43</v>
      </c>
      <c r="V248" s="2" t="s">
        <v>43</v>
      </c>
    </row>
    <row r="249" spans="2:22" x14ac:dyDescent="0.2">
      <c r="B249" s="33"/>
      <c r="D249" s="38"/>
      <c r="E249" s="38"/>
      <c r="F249" s="46"/>
      <c r="G249" s="46"/>
      <c r="H249" s="41"/>
      <c r="I249" s="41"/>
      <c r="J249" s="41"/>
      <c r="K249" s="41"/>
      <c r="L249" s="33"/>
      <c r="N249" s="1">
        <v>216</v>
      </c>
      <c r="O249" s="2" t="s">
        <v>87</v>
      </c>
      <c r="P249" s="2" t="s">
        <v>28</v>
      </c>
      <c r="Q249" s="14">
        <v>44767</v>
      </c>
      <c r="R249" s="14">
        <v>45061</v>
      </c>
      <c r="S249" s="2">
        <v>0.14352896000000001</v>
      </c>
      <c r="T249" s="2">
        <v>0.20566809999999999</v>
      </c>
      <c r="U249" s="2" t="s">
        <v>45</v>
      </c>
      <c r="V249" s="2" t="s">
        <v>45</v>
      </c>
    </row>
    <row r="250" spans="2:22" x14ac:dyDescent="0.2">
      <c r="B250" s="33"/>
      <c r="D250" s="38"/>
      <c r="E250" s="38"/>
      <c r="F250" s="46"/>
      <c r="G250" s="46"/>
      <c r="H250" s="41"/>
      <c r="I250" s="41"/>
      <c r="J250" s="41"/>
      <c r="K250" s="41"/>
      <c r="L250" s="33"/>
      <c r="N250" s="1">
        <v>217</v>
      </c>
      <c r="O250" s="2" t="s">
        <v>87</v>
      </c>
      <c r="P250" s="2" t="s">
        <v>38</v>
      </c>
      <c r="Q250" s="14">
        <v>44774</v>
      </c>
      <c r="R250" s="14">
        <v>45251</v>
      </c>
      <c r="S250" s="2">
        <v>0.27896700000000002</v>
      </c>
      <c r="T250" s="2">
        <v>0.56508950000000002</v>
      </c>
      <c r="U250" s="2" t="s">
        <v>43</v>
      </c>
      <c r="V250" s="2" t="s">
        <v>43</v>
      </c>
    </row>
    <row r="251" spans="2:22" x14ac:dyDescent="0.2">
      <c r="B251" s="33"/>
      <c r="D251" s="38"/>
      <c r="E251" s="38"/>
      <c r="F251" s="46"/>
      <c r="G251" s="46"/>
      <c r="H251" s="41"/>
      <c r="I251" s="41"/>
      <c r="J251" s="41"/>
      <c r="K251" s="41"/>
      <c r="L251" s="33"/>
    </row>
    <row r="252" spans="2:22" x14ac:dyDescent="0.2">
      <c r="B252" s="33"/>
      <c r="D252" s="38"/>
      <c r="E252" s="38"/>
      <c r="F252" s="46"/>
      <c r="G252" s="46"/>
      <c r="H252" s="41"/>
      <c r="I252" s="41"/>
      <c r="J252" s="41"/>
      <c r="K252" s="41"/>
      <c r="L252" s="33"/>
    </row>
    <row r="253" spans="2:22" x14ac:dyDescent="0.2">
      <c r="B253" s="33"/>
      <c r="D253" s="38"/>
      <c r="E253" s="38"/>
      <c r="F253" s="46"/>
      <c r="G253" s="46"/>
      <c r="H253" s="41"/>
      <c r="I253" s="41"/>
      <c r="J253" s="41"/>
      <c r="K253" s="41"/>
      <c r="L253" s="33"/>
    </row>
    <row r="254" spans="2:22" x14ac:dyDescent="0.2">
      <c r="B254" s="33"/>
      <c r="D254" s="38"/>
      <c r="E254" s="38"/>
      <c r="F254" s="46"/>
      <c r="G254" s="46"/>
      <c r="H254" s="41"/>
      <c r="I254" s="41"/>
      <c r="J254" s="41"/>
      <c r="K254" s="41"/>
      <c r="L254" s="33"/>
    </row>
    <row r="255" spans="2:22" x14ac:dyDescent="0.2">
      <c r="B255" s="33"/>
      <c r="D255" s="38"/>
      <c r="E255" s="38"/>
      <c r="F255" s="46"/>
      <c r="G255" s="46"/>
      <c r="H255" s="41"/>
      <c r="I255" s="41"/>
      <c r="J255" s="41"/>
      <c r="K255" s="41"/>
      <c r="L255" s="33"/>
    </row>
    <row r="256" spans="2:22" x14ac:dyDescent="0.2">
      <c r="B256" s="33"/>
      <c r="D256" s="38"/>
      <c r="E256" s="38"/>
      <c r="F256" s="46"/>
      <c r="G256" s="46"/>
      <c r="H256" s="41"/>
      <c r="I256" s="41"/>
      <c r="J256" s="41"/>
      <c r="K256" s="41"/>
      <c r="L256" s="33"/>
    </row>
    <row r="257" spans="2:12" x14ac:dyDescent="0.2">
      <c r="B257" s="33"/>
      <c r="D257" s="38"/>
      <c r="E257" s="38"/>
      <c r="F257" s="46"/>
      <c r="G257" s="46"/>
      <c r="H257" s="41"/>
      <c r="I257" s="41"/>
      <c r="J257" s="41"/>
      <c r="K257" s="41"/>
      <c r="L257" s="33"/>
    </row>
    <row r="258" spans="2:12" x14ac:dyDescent="0.2">
      <c r="B258" s="33"/>
      <c r="D258" s="38"/>
      <c r="E258" s="38"/>
      <c r="F258" s="46"/>
      <c r="G258" s="46"/>
      <c r="H258" s="41"/>
      <c r="I258" s="41"/>
      <c r="J258" s="41"/>
      <c r="K258" s="41"/>
      <c r="L258" s="33"/>
    </row>
    <row r="259" spans="2:12" x14ac:dyDescent="0.2">
      <c r="B259" s="33"/>
      <c r="D259" s="38"/>
      <c r="E259" s="38"/>
      <c r="F259" s="46"/>
      <c r="G259" s="46"/>
      <c r="H259" s="41"/>
      <c r="I259" s="41"/>
      <c r="J259" s="41"/>
      <c r="K259" s="41"/>
      <c r="L259" s="33"/>
    </row>
    <row r="260" spans="2:12" x14ac:dyDescent="0.2">
      <c r="B260" s="33"/>
      <c r="D260" s="38"/>
      <c r="E260" s="38"/>
      <c r="F260" s="46"/>
      <c r="G260" s="46"/>
      <c r="H260" s="41"/>
      <c r="I260" s="41"/>
      <c r="J260" s="41"/>
      <c r="K260" s="41"/>
      <c r="L260" s="33"/>
    </row>
    <row r="261" spans="2:12" x14ac:dyDescent="0.2">
      <c r="B261" s="33"/>
      <c r="D261" s="38"/>
      <c r="E261" s="38"/>
      <c r="F261" s="46"/>
      <c r="G261" s="46"/>
      <c r="H261" s="41"/>
      <c r="I261" s="41"/>
      <c r="J261" s="41"/>
      <c r="K261" s="41"/>
      <c r="L261" s="33"/>
    </row>
    <row r="262" spans="2:12" x14ac:dyDescent="0.2">
      <c r="B262" s="33"/>
      <c r="D262" s="38"/>
      <c r="E262" s="38"/>
      <c r="F262" s="46"/>
      <c r="G262" s="46"/>
      <c r="H262" s="41"/>
      <c r="I262" s="41"/>
      <c r="J262" s="41"/>
      <c r="K262" s="41"/>
      <c r="L262" s="33"/>
    </row>
    <row r="263" spans="2:12" x14ac:dyDescent="0.2">
      <c r="B263" s="33"/>
      <c r="D263" s="38"/>
      <c r="E263" s="38"/>
      <c r="F263" s="46"/>
      <c r="G263" s="46"/>
      <c r="H263" s="41"/>
      <c r="I263" s="41"/>
      <c r="J263" s="41"/>
      <c r="K263" s="41"/>
      <c r="L263" s="33"/>
    </row>
    <row r="264" spans="2:12" x14ac:dyDescent="0.2">
      <c r="B264" s="33"/>
      <c r="D264" s="38"/>
      <c r="E264" s="38"/>
      <c r="F264" s="46"/>
      <c r="G264" s="46"/>
      <c r="H264" s="41"/>
      <c r="I264" s="41"/>
      <c r="J264" s="41"/>
      <c r="K264" s="41"/>
      <c r="L264" s="33"/>
    </row>
    <row r="265" spans="2:12" x14ac:dyDescent="0.2">
      <c r="B265" s="33"/>
      <c r="D265" s="38"/>
      <c r="E265" s="38"/>
      <c r="F265" s="46"/>
      <c r="G265" s="46"/>
      <c r="H265" s="41"/>
      <c r="I265" s="41"/>
      <c r="J265" s="41"/>
      <c r="K265" s="41"/>
      <c r="L265" s="33"/>
    </row>
    <row r="266" spans="2:12" x14ac:dyDescent="0.2">
      <c r="B266" s="33"/>
      <c r="D266" s="38"/>
      <c r="E266" s="38"/>
      <c r="F266" s="46"/>
      <c r="G266" s="46"/>
      <c r="H266" s="41"/>
      <c r="I266" s="41"/>
      <c r="J266" s="41"/>
      <c r="K266" s="41"/>
      <c r="L266" s="33"/>
    </row>
    <row r="267" spans="2:12" x14ac:dyDescent="0.2">
      <c r="B267" s="33"/>
      <c r="D267" s="38"/>
      <c r="E267" s="38"/>
      <c r="F267" s="46"/>
      <c r="G267" s="46"/>
      <c r="H267" s="41"/>
      <c r="I267" s="41"/>
      <c r="J267" s="41"/>
      <c r="K267" s="41"/>
      <c r="L267" s="33"/>
    </row>
    <row r="268" spans="2:12" x14ac:dyDescent="0.2">
      <c r="B268" s="33"/>
      <c r="D268" s="38"/>
      <c r="E268" s="38"/>
      <c r="F268" s="46"/>
      <c r="G268" s="46"/>
      <c r="H268" s="41"/>
      <c r="I268" s="41"/>
      <c r="J268" s="41"/>
      <c r="K268" s="41"/>
      <c r="L268" s="33"/>
    </row>
    <row r="269" spans="2:12" x14ac:dyDescent="0.2">
      <c r="B269" s="33"/>
      <c r="D269" s="38"/>
      <c r="E269" s="38"/>
      <c r="F269" s="46"/>
      <c r="G269" s="46"/>
      <c r="H269" s="41"/>
      <c r="I269" s="41"/>
      <c r="J269" s="41"/>
      <c r="K269" s="41"/>
      <c r="L269" s="33"/>
    </row>
    <row r="270" spans="2:12" x14ac:dyDescent="0.2">
      <c r="B270" s="33"/>
      <c r="D270" s="38"/>
      <c r="E270" s="38"/>
      <c r="F270" s="46"/>
      <c r="G270" s="46"/>
      <c r="H270" s="41"/>
      <c r="I270" s="41"/>
      <c r="J270" s="41"/>
      <c r="K270" s="41"/>
      <c r="L270" s="33"/>
    </row>
    <row r="271" spans="2:12" x14ac:dyDescent="0.2">
      <c r="B271" s="33"/>
      <c r="D271" s="38"/>
      <c r="E271" s="38"/>
      <c r="F271" s="46"/>
      <c r="G271" s="46"/>
      <c r="H271" s="41"/>
      <c r="I271" s="41"/>
      <c r="J271" s="41"/>
      <c r="K271" s="41"/>
      <c r="L271" s="33"/>
    </row>
    <row r="272" spans="2:12" x14ac:dyDescent="0.2">
      <c r="B272" s="33"/>
      <c r="D272" s="38"/>
      <c r="E272" s="38"/>
      <c r="F272" s="46"/>
      <c r="G272" s="46"/>
      <c r="H272" s="41"/>
      <c r="I272" s="41"/>
      <c r="J272" s="41"/>
      <c r="K272" s="41"/>
      <c r="L272" s="33"/>
    </row>
    <row r="273" spans="2:12" x14ac:dyDescent="0.2">
      <c r="B273" s="33"/>
      <c r="D273" s="38"/>
      <c r="E273" s="38"/>
      <c r="F273" s="46"/>
      <c r="G273" s="46"/>
      <c r="H273" s="41"/>
      <c r="I273" s="41"/>
      <c r="J273" s="41"/>
      <c r="K273" s="41"/>
      <c r="L273" s="33"/>
    </row>
    <row r="274" spans="2:12" x14ac:dyDescent="0.2">
      <c r="B274" s="33"/>
      <c r="D274" s="38"/>
      <c r="E274" s="38"/>
      <c r="F274" s="46"/>
      <c r="G274" s="46"/>
      <c r="H274" s="41"/>
      <c r="I274" s="41"/>
      <c r="J274" s="41"/>
      <c r="K274" s="41"/>
      <c r="L274" s="33"/>
    </row>
    <row r="275" spans="2:12" x14ac:dyDescent="0.2">
      <c r="B275" s="33"/>
      <c r="D275" s="38"/>
      <c r="E275" s="38"/>
      <c r="F275" s="46"/>
      <c r="G275" s="46"/>
      <c r="H275" s="41"/>
      <c r="I275" s="41"/>
      <c r="J275" s="41"/>
      <c r="K275" s="41"/>
      <c r="L275" s="33"/>
    </row>
    <row r="276" spans="2:12" x14ac:dyDescent="0.2">
      <c r="B276" s="33"/>
      <c r="D276" s="38"/>
      <c r="E276" s="38"/>
      <c r="F276" s="46"/>
      <c r="G276" s="46"/>
      <c r="H276" s="41"/>
      <c r="I276" s="41"/>
      <c r="J276" s="41"/>
      <c r="K276" s="41"/>
      <c r="L276" s="33"/>
    </row>
    <row r="277" spans="2:12" x14ac:dyDescent="0.2">
      <c r="B277" s="33"/>
      <c r="D277" s="38"/>
      <c r="E277" s="38"/>
      <c r="F277" s="46"/>
      <c r="G277" s="46"/>
      <c r="H277" s="41"/>
      <c r="I277" s="41"/>
      <c r="J277" s="41"/>
      <c r="K277" s="41"/>
      <c r="L277" s="33"/>
    </row>
    <row r="278" spans="2:12" x14ac:dyDescent="0.2">
      <c r="B278" s="33"/>
      <c r="D278" s="38"/>
      <c r="E278" s="38"/>
      <c r="F278" s="46"/>
      <c r="G278" s="46"/>
      <c r="H278" s="41"/>
      <c r="I278" s="41"/>
      <c r="J278" s="41"/>
      <c r="K278" s="41"/>
      <c r="L278" s="33"/>
    </row>
    <row r="279" spans="2:12" x14ac:dyDescent="0.2">
      <c r="B279" s="33"/>
      <c r="D279" s="38"/>
      <c r="E279" s="38"/>
      <c r="F279" s="46"/>
      <c r="G279" s="46"/>
      <c r="H279" s="41"/>
      <c r="I279" s="41"/>
      <c r="J279" s="41"/>
      <c r="K279" s="41"/>
      <c r="L279" s="33"/>
    </row>
    <row r="280" spans="2:12" x14ac:dyDescent="0.2">
      <c r="B280" s="33"/>
      <c r="D280" s="38"/>
      <c r="E280" s="38"/>
      <c r="F280" s="46"/>
      <c r="G280" s="46"/>
      <c r="H280" s="41"/>
      <c r="I280" s="41"/>
      <c r="J280" s="41"/>
      <c r="K280" s="41"/>
      <c r="L280" s="33"/>
    </row>
    <row r="281" spans="2:12" x14ac:dyDescent="0.2">
      <c r="B281" s="33"/>
      <c r="D281" s="38"/>
      <c r="E281" s="38"/>
      <c r="F281" s="46"/>
      <c r="G281" s="46"/>
      <c r="H281" s="41"/>
      <c r="I281" s="41"/>
      <c r="J281" s="41"/>
      <c r="K281" s="41"/>
      <c r="L281" s="33"/>
    </row>
    <row r="282" spans="2:12" x14ac:dyDescent="0.2">
      <c r="B282" s="33"/>
      <c r="D282" s="38"/>
      <c r="E282" s="38"/>
      <c r="F282" s="46"/>
      <c r="G282" s="46"/>
      <c r="H282" s="41"/>
      <c r="I282" s="41"/>
      <c r="J282" s="41"/>
      <c r="K282" s="41"/>
      <c r="L282" s="33"/>
    </row>
    <row r="283" spans="2:12" x14ac:dyDescent="0.2">
      <c r="B283" s="33"/>
      <c r="D283" s="38"/>
      <c r="E283" s="38"/>
      <c r="F283" s="46"/>
      <c r="G283" s="46"/>
      <c r="H283" s="41"/>
      <c r="I283" s="41"/>
      <c r="J283" s="41"/>
      <c r="K283" s="41"/>
      <c r="L283" s="33"/>
    </row>
    <row r="284" spans="2:12" x14ac:dyDescent="0.2">
      <c r="B284" s="33"/>
      <c r="D284" s="38"/>
      <c r="E284" s="38"/>
      <c r="F284" s="46"/>
      <c r="G284" s="46"/>
      <c r="H284" s="41"/>
      <c r="I284" s="41"/>
      <c r="J284" s="41"/>
      <c r="K284" s="41"/>
      <c r="L284" s="33"/>
    </row>
    <row r="285" spans="2:12" x14ac:dyDescent="0.2">
      <c r="B285" s="33"/>
      <c r="D285" s="38"/>
      <c r="E285" s="38"/>
      <c r="F285" s="46"/>
      <c r="G285" s="46"/>
      <c r="H285" s="41"/>
      <c r="I285" s="41"/>
      <c r="J285" s="41"/>
      <c r="K285" s="41"/>
      <c r="L285" s="33"/>
    </row>
    <row r="286" spans="2:12" x14ac:dyDescent="0.2">
      <c r="B286" s="33"/>
      <c r="D286" s="38"/>
      <c r="E286" s="38"/>
      <c r="F286" s="46"/>
      <c r="G286" s="46"/>
      <c r="H286" s="41"/>
      <c r="I286" s="41"/>
      <c r="J286" s="41"/>
      <c r="K286" s="41"/>
      <c r="L286" s="33"/>
    </row>
    <row r="287" spans="2:12" x14ac:dyDescent="0.2">
      <c r="B287" s="33"/>
      <c r="D287" s="38"/>
      <c r="E287" s="38"/>
      <c r="F287" s="46"/>
      <c r="G287" s="46"/>
      <c r="H287" s="41"/>
      <c r="I287" s="41"/>
      <c r="J287" s="41"/>
      <c r="K287" s="41"/>
      <c r="L287" s="33"/>
    </row>
    <row r="288" spans="2:12" x14ac:dyDescent="0.2">
      <c r="B288" s="33"/>
      <c r="D288" s="38"/>
      <c r="E288" s="38"/>
      <c r="F288" s="46"/>
      <c r="G288" s="46"/>
      <c r="H288" s="41"/>
      <c r="I288" s="41"/>
      <c r="J288" s="41"/>
      <c r="K288" s="41"/>
      <c r="L288" s="33"/>
    </row>
    <row r="289" spans="2:12" x14ac:dyDescent="0.2">
      <c r="B289" s="33"/>
      <c r="D289" s="38"/>
      <c r="E289" s="38"/>
      <c r="F289" s="46"/>
      <c r="G289" s="46"/>
      <c r="H289" s="41"/>
      <c r="I289" s="41"/>
      <c r="J289" s="41"/>
      <c r="K289" s="41"/>
      <c r="L289" s="33"/>
    </row>
    <row r="290" spans="2:12" x14ac:dyDescent="0.2">
      <c r="B290" s="33"/>
      <c r="D290" s="38"/>
      <c r="E290" s="38"/>
      <c r="F290" s="46"/>
      <c r="G290" s="46"/>
      <c r="H290" s="41"/>
      <c r="I290" s="41"/>
      <c r="J290" s="41"/>
      <c r="K290" s="41"/>
      <c r="L290" s="33"/>
    </row>
    <row r="291" spans="2:12" x14ac:dyDescent="0.2">
      <c r="B291" s="33"/>
      <c r="D291" s="38"/>
      <c r="E291" s="38"/>
      <c r="F291" s="46"/>
      <c r="G291" s="46"/>
      <c r="H291" s="41"/>
      <c r="I291" s="41"/>
      <c r="J291" s="41"/>
      <c r="K291" s="41"/>
      <c r="L291" s="33"/>
    </row>
    <row r="292" spans="2:12" x14ac:dyDescent="0.2">
      <c r="B292" s="33"/>
      <c r="D292" s="38"/>
      <c r="E292" s="38"/>
      <c r="F292" s="46"/>
      <c r="G292" s="46"/>
      <c r="H292" s="41"/>
      <c r="I292" s="41"/>
      <c r="J292" s="41"/>
      <c r="K292" s="41"/>
      <c r="L292" s="33"/>
    </row>
    <row r="293" spans="2:12" x14ac:dyDescent="0.2">
      <c r="B293" s="33"/>
      <c r="D293" s="38"/>
      <c r="E293" s="38"/>
      <c r="F293" s="46"/>
      <c r="G293" s="46"/>
      <c r="H293" s="41"/>
      <c r="I293" s="41"/>
      <c r="J293" s="41"/>
      <c r="K293" s="41"/>
      <c r="L293" s="33"/>
    </row>
    <row r="294" spans="2:12" x14ac:dyDescent="0.2">
      <c r="B294" s="33"/>
      <c r="D294" s="38"/>
      <c r="E294" s="38"/>
      <c r="F294" s="46"/>
      <c r="G294" s="46"/>
      <c r="H294" s="41"/>
      <c r="I294" s="41"/>
      <c r="J294" s="41"/>
      <c r="K294" s="41"/>
      <c r="L294" s="33"/>
    </row>
    <row r="295" spans="2:12" x14ac:dyDescent="0.2">
      <c r="B295" s="33"/>
      <c r="D295" s="38"/>
      <c r="E295" s="38"/>
      <c r="F295" s="46"/>
      <c r="G295" s="46"/>
      <c r="H295" s="41"/>
      <c r="I295" s="41"/>
      <c r="J295" s="41"/>
      <c r="K295" s="41"/>
      <c r="L295" s="33"/>
    </row>
    <row r="296" spans="2:12" x14ac:dyDescent="0.2">
      <c r="B296" s="33"/>
      <c r="D296" s="38"/>
      <c r="E296" s="38"/>
      <c r="F296" s="46"/>
      <c r="G296" s="46"/>
      <c r="H296" s="41"/>
      <c r="I296" s="41"/>
      <c r="J296" s="41"/>
      <c r="K296" s="41"/>
      <c r="L296" s="33"/>
    </row>
    <row r="297" spans="2:12" x14ac:dyDescent="0.2">
      <c r="B297" s="33"/>
      <c r="D297" s="38"/>
      <c r="E297" s="38"/>
      <c r="F297" s="46"/>
      <c r="G297" s="46"/>
      <c r="H297" s="41"/>
      <c r="I297" s="41"/>
      <c r="J297" s="41"/>
      <c r="K297" s="41"/>
      <c r="L297" s="33"/>
    </row>
    <row r="298" spans="2:12" x14ac:dyDescent="0.2">
      <c r="B298" s="33"/>
      <c r="D298" s="38"/>
      <c r="E298" s="38"/>
      <c r="F298" s="46"/>
      <c r="G298" s="46"/>
      <c r="H298" s="41"/>
      <c r="I298" s="41"/>
      <c r="J298" s="41"/>
      <c r="K298" s="41"/>
      <c r="L298" s="33"/>
    </row>
    <row r="299" spans="2:12" x14ac:dyDescent="0.2">
      <c r="B299" s="33"/>
      <c r="D299" s="38"/>
      <c r="E299" s="38"/>
      <c r="F299" s="46"/>
      <c r="G299" s="46"/>
      <c r="H299" s="41"/>
      <c r="I299" s="41"/>
      <c r="J299" s="41"/>
      <c r="K299" s="41"/>
      <c r="L299" s="33"/>
    </row>
    <row r="300" spans="2:12" x14ac:dyDescent="0.2">
      <c r="B300" s="33"/>
      <c r="D300" s="38"/>
      <c r="E300" s="38"/>
      <c r="F300" s="46"/>
      <c r="G300" s="46"/>
      <c r="H300" s="41"/>
      <c r="I300" s="41"/>
      <c r="J300" s="41"/>
      <c r="K300" s="41"/>
      <c r="L300" s="33"/>
    </row>
    <row r="301" spans="2:12" x14ac:dyDescent="0.2">
      <c r="B301" s="33"/>
      <c r="D301" s="38"/>
      <c r="E301" s="38"/>
      <c r="F301" s="46"/>
      <c r="G301" s="46"/>
      <c r="H301" s="41"/>
      <c r="I301" s="41"/>
      <c r="J301" s="41"/>
      <c r="K301" s="41"/>
      <c r="L301" s="33"/>
    </row>
    <row r="302" spans="2:12" x14ac:dyDescent="0.2">
      <c r="B302" s="33"/>
      <c r="D302" s="38"/>
      <c r="E302" s="38"/>
      <c r="F302" s="46"/>
      <c r="G302" s="46"/>
      <c r="H302" s="41"/>
      <c r="I302" s="41"/>
      <c r="J302" s="41"/>
      <c r="K302" s="41"/>
      <c r="L302" s="33"/>
    </row>
    <row r="303" spans="2:12" x14ac:dyDescent="0.2">
      <c r="B303" s="33"/>
      <c r="D303" s="38"/>
      <c r="E303" s="38"/>
      <c r="F303" s="46"/>
      <c r="G303" s="46"/>
      <c r="H303" s="41"/>
      <c r="I303" s="41"/>
      <c r="J303" s="41"/>
      <c r="K303" s="41"/>
      <c r="L303" s="33"/>
    </row>
    <row r="304" spans="2:12" x14ac:dyDescent="0.2">
      <c r="B304" s="33"/>
      <c r="D304" s="38"/>
      <c r="E304" s="38"/>
      <c r="F304" s="46"/>
      <c r="G304" s="46"/>
      <c r="H304" s="41"/>
      <c r="I304" s="41"/>
      <c r="J304" s="41"/>
      <c r="K304" s="41"/>
      <c r="L304" s="33"/>
    </row>
    <row r="305" spans="2:12" x14ac:dyDescent="0.2">
      <c r="B305" s="33"/>
      <c r="D305" s="38"/>
      <c r="E305" s="38"/>
      <c r="F305" s="46"/>
      <c r="G305" s="46"/>
      <c r="H305" s="41"/>
      <c r="I305" s="41"/>
      <c r="J305" s="41"/>
      <c r="K305" s="41"/>
      <c r="L305" s="33"/>
    </row>
    <row r="306" spans="2:12" x14ac:dyDescent="0.2">
      <c r="B306" s="33"/>
      <c r="D306" s="38"/>
      <c r="E306" s="38"/>
      <c r="F306" s="46"/>
      <c r="G306" s="46"/>
      <c r="H306" s="41"/>
      <c r="I306" s="41"/>
      <c r="J306" s="41"/>
      <c r="K306" s="41"/>
      <c r="L306" s="33"/>
    </row>
    <row r="307" spans="2:12" x14ac:dyDescent="0.2">
      <c r="B307" s="33"/>
      <c r="D307" s="38"/>
      <c r="E307" s="38"/>
      <c r="F307" s="46"/>
      <c r="G307" s="46"/>
      <c r="H307" s="41"/>
      <c r="I307" s="41"/>
      <c r="J307" s="41"/>
      <c r="K307" s="41"/>
      <c r="L307" s="33"/>
    </row>
    <row r="308" spans="2:12" x14ac:dyDescent="0.2">
      <c r="B308" s="33"/>
      <c r="D308" s="38"/>
      <c r="E308" s="38"/>
      <c r="F308" s="46"/>
      <c r="G308" s="46"/>
      <c r="H308" s="41"/>
      <c r="I308" s="41"/>
      <c r="J308" s="41"/>
      <c r="K308" s="41"/>
      <c r="L308" s="33"/>
    </row>
    <row r="309" spans="2:12" x14ac:dyDescent="0.2">
      <c r="B309" s="33"/>
      <c r="D309" s="38"/>
      <c r="E309" s="38"/>
      <c r="F309" s="46"/>
      <c r="G309" s="46"/>
      <c r="H309" s="41"/>
      <c r="I309" s="41"/>
      <c r="J309" s="41"/>
      <c r="K309" s="41"/>
      <c r="L309" s="33"/>
    </row>
    <row r="310" spans="2:12" x14ac:dyDescent="0.2">
      <c r="B310" s="33"/>
      <c r="D310" s="38"/>
      <c r="E310" s="38"/>
      <c r="F310" s="46"/>
      <c r="G310" s="46"/>
      <c r="H310" s="41"/>
      <c r="I310" s="41"/>
      <c r="J310" s="41"/>
      <c r="K310" s="41"/>
      <c r="L310" s="33"/>
    </row>
    <row r="311" spans="2:12" x14ac:dyDescent="0.2">
      <c r="B311" s="33"/>
      <c r="D311" s="38"/>
      <c r="E311" s="38"/>
      <c r="F311" s="46"/>
      <c r="G311" s="46"/>
      <c r="H311" s="41"/>
      <c r="I311" s="41"/>
      <c r="J311" s="41"/>
      <c r="K311" s="41"/>
      <c r="L311" s="33"/>
    </row>
    <row r="312" spans="2:12" x14ac:dyDescent="0.2">
      <c r="B312" s="33"/>
      <c r="D312" s="38"/>
      <c r="E312" s="38"/>
      <c r="F312" s="46"/>
      <c r="G312" s="46"/>
      <c r="H312" s="41"/>
      <c r="I312" s="41"/>
      <c r="J312" s="41"/>
      <c r="K312" s="41"/>
      <c r="L312" s="33"/>
    </row>
    <row r="313" spans="2:12" x14ac:dyDescent="0.2">
      <c r="B313" s="33"/>
      <c r="D313" s="38"/>
      <c r="E313" s="38"/>
      <c r="F313" s="46"/>
      <c r="G313" s="46"/>
      <c r="H313" s="41"/>
      <c r="I313" s="41"/>
      <c r="J313" s="41"/>
      <c r="K313" s="41"/>
      <c r="L313" s="33"/>
    </row>
    <row r="314" spans="2:12" x14ac:dyDescent="0.2">
      <c r="B314" s="33"/>
      <c r="D314" s="38"/>
      <c r="E314" s="38"/>
      <c r="F314" s="46"/>
      <c r="G314" s="46"/>
      <c r="H314" s="41"/>
      <c r="I314" s="41"/>
      <c r="J314" s="41"/>
      <c r="K314" s="41"/>
      <c r="L314" s="33"/>
    </row>
    <row r="315" spans="2:12" x14ac:dyDescent="0.2">
      <c r="B315" s="33"/>
      <c r="D315" s="38"/>
      <c r="E315" s="38"/>
      <c r="F315" s="46"/>
      <c r="G315" s="46"/>
      <c r="H315" s="41"/>
      <c r="I315" s="41"/>
      <c r="J315" s="41"/>
      <c r="K315" s="41"/>
      <c r="L315" s="33"/>
    </row>
    <row r="316" spans="2:12" x14ac:dyDescent="0.2">
      <c r="B316" s="33"/>
      <c r="D316" s="38"/>
      <c r="E316" s="38"/>
      <c r="F316" s="46"/>
      <c r="G316" s="46"/>
      <c r="H316" s="41"/>
      <c r="I316" s="41"/>
      <c r="J316" s="41"/>
      <c r="K316" s="41"/>
      <c r="L316" s="33"/>
    </row>
    <row r="317" spans="2:12" x14ac:dyDescent="0.2">
      <c r="B317" s="33"/>
      <c r="D317" s="38"/>
      <c r="E317" s="38"/>
      <c r="F317" s="46"/>
      <c r="G317" s="46"/>
      <c r="H317" s="41"/>
      <c r="I317" s="41"/>
      <c r="J317" s="41"/>
      <c r="K317" s="41"/>
      <c r="L317" s="33"/>
    </row>
    <row r="318" spans="2:12" x14ac:dyDescent="0.2">
      <c r="B318" s="33"/>
      <c r="D318" s="38"/>
      <c r="E318" s="38"/>
      <c r="F318" s="46"/>
      <c r="G318" s="46"/>
      <c r="H318" s="41"/>
      <c r="I318" s="41"/>
      <c r="J318" s="41"/>
      <c r="K318" s="41"/>
      <c r="L318" s="33"/>
    </row>
    <row r="319" spans="2:12" x14ac:dyDescent="0.2">
      <c r="B319" s="33"/>
      <c r="D319" s="38"/>
      <c r="E319" s="38"/>
      <c r="F319" s="46"/>
      <c r="G319" s="46"/>
      <c r="H319" s="41"/>
      <c r="I319" s="41"/>
      <c r="J319" s="41"/>
      <c r="K319" s="41"/>
      <c r="L319" s="33"/>
    </row>
    <row r="320" spans="2:12" x14ac:dyDescent="0.2">
      <c r="B320" s="33"/>
      <c r="D320" s="38"/>
      <c r="E320" s="38"/>
      <c r="F320" s="46"/>
      <c r="G320" s="46"/>
      <c r="H320" s="41"/>
      <c r="I320" s="41"/>
      <c r="J320" s="41"/>
      <c r="K320" s="41"/>
      <c r="L320" s="33"/>
    </row>
    <row r="321" spans="2:12" x14ac:dyDescent="0.2">
      <c r="B321" s="33"/>
      <c r="D321" s="38"/>
      <c r="E321" s="38"/>
      <c r="F321" s="46"/>
      <c r="G321" s="46"/>
      <c r="H321" s="41"/>
      <c r="I321" s="41"/>
      <c r="J321" s="41"/>
      <c r="K321" s="41"/>
      <c r="L321" s="33"/>
    </row>
    <row r="322" spans="2:12" x14ac:dyDescent="0.2">
      <c r="B322" s="33"/>
      <c r="D322" s="38"/>
      <c r="E322" s="38"/>
      <c r="F322" s="46"/>
      <c r="G322" s="46"/>
      <c r="H322" s="41"/>
      <c r="I322" s="41"/>
      <c r="J322" s="41"/>
      <c r="K322" s="41"/>
      <c r="L322" s="33"/>
    </row>
    <row r="323" spans="2:12" x14ac:dyDescent="0.2">
      <c r="B323" s="33"/>
      <c r="D323" s="38"/>
      <c r="E323" s="38"/>
      <c r="F323" s="46"/>
      <c r="G323" s="46"/>
      <c r="H323" s="41"/>
      <c r="I323" s="41"/>
      <c r="J323" s="41"/>
      <c r="K323" s="41"/>
      <c r="L323" s="33"/>
    </row>
    <row r="324" spans="2:12" x14ac:dyDescent="0.2">
      <c r="B324" s="33"/>
      <c r="D324" s="38"/>
      <c r="E324" s="38"/>
      <c r="F324" s="46"/>
      <c r="G324" s="46"/>
      <c r="H324" s="41"/>
      <c r="I324" s="41"/>
      <c r="J324" s="41"/>
      <c r="K324" s="41"/>
      <c r="L324" s="33"/>
    </row>
    <row r="325" spans="2:12" x14ac:dyDescent="0.2">
      <c r="B325" s="33"/>
      <c r="D325" s="38"/>
      <c r="E325" s="38"/>
      <c r="F325" s="46"/>
      <c r="G325" s="46"/>
      <c r="H325" s="41"/>
      <c r="I325" s="41"/>
      <c r="J325" s="41"/>
      <c r="K325" s="41"/>
      <c r="L325" s="33"/>
    </row>
    <row r="326" spans="2:12" x14ac:dyDescent="0.2">
      <c r="B326" s="33"/>
      <c r="D326" s="38"/>
      <c r="E326" s="38"/>
      <c r="F326" s="46"/>
      <c r="G326" s="46"/>
      <c r="H326" s="41"/>
      <c r="I326" s="41"/>
      <c r="J326" s="41"/>
      <c r="K326" s="41"/>
      <c r="L326" s="33"/>
    </row>
    <row r="327" spans="2:12" x14ac:dyDescent="0.2">
      <c r="B327" s="33"/>
      <c r="D327" s="38"/>
      <c r="E327" s="38"/>
      <c r="F327" s="46"/>
      <c r="G327" s="46"/>
      <c r="H327" s="41"/>
      <c r="I327" s="41"/>
      <c r="J327" s="41"/>
      <c r="K327" s="41"/>
      <c r="L327" s="33"/>
    </row>
    <row r="328" spans="2:12" x14ac:dyDescent="0.2">
      <c r="B328" s="33"/>
      <c r="D328" s="38"/>
      <c r="E328" s="38"/>
      <c r="F328" s="46"/>
      <c r="G328" s="46"/>
      <c r="H328" s="41"/>
      <c r="I328" s="41"/>
      <c r="J328" s="41"/>
      <c r="K328" s="41"/>
      <c r="L328" s="33"/>
    </row>
    <row r="329" spans="2:12" x14ac:dyDescent="0.2">
      <c r="B329" s="33"/>
      <c r="D329" s="38"/>
      <c r="E329" s="38"/>
      <c r="F329" s="46"/>
      <c r="G329" s="46"/>
      <c r="H329" s="41"/>
      <c r="I329" s="41"/>
      <c r="J329" s="41"/>
      <c r="K329" s="41"/>
      <c r="L329" s="33"/>
    </row>
    <row r="330" spans="2:12" x14ac:dyDescent="0.2">
      <c r="B330" s="33"/>
      <c r="D330" s="38"/>
      <c r="E330" s="38"/>
      <c r="F330" s="46"/>
      <c r="G330" s="46"/>
      <c r="H330" s="41"/>
      <c r="I330" s="41"/>
      <c r="J330" s="41"/>
      <c r="K330" s="41"/>
      <c r="L330" s="33"/>
    </row>
    <row r="331" spans="2:12" x14ac:dyDescent="0.2">
      <c r="B331" s="33"/>
      <c r="D331" s="38"/>
      <c r="E331" s="38"/>
      <c r="F331" s="46"/>
      <c r="G331" s="46"/>
      <c r="H331" s="41"/>
      <c r="I331" s="41"/>
      <c r="J331" s="41"/>
      <c r="K331" s="41"/>
      <c r="L331" s="33"/>
    </row>
    <row r="332" spans="2:12" x14ac:dyDescent="0.2">
      <c r="B332" s="33"/>
      <c r="D332" s="38"/>
      <c r="E332" s="38"/>
      <c r="F332" s="46"/>
      <c r="G332" s="46"/>
      <c r="H332" s="41"/>
      <c r="I332" s="41"/>
      <c r="J332" s="41"/>
      <c r="K332" s="41"/>
      <c r="L332" s="33"/>
    </row>
    <row r="333" spans="2:12" x14ac:dyDescent="0.2">
      <c r="B333" s="33"/>
      <c r="D333" s="38"/>
      <c r="E333" s="38"/>
      <c r="F333" s="46"/>
      <c r="G333" s="46"/>
      <c r="H333" s="41"/>
      <c r="I333" s="41"/>
      <c r="J333" s="41"/>
      <c r="K333" s="41"/>
      <c r="L333" s="33"/>
    </row>
    <row r="334" spans="2:12" x14ac:dyDescent="0.2">
      <c r="B334" s="33"/>
      <c r="D334" s="38"/>
      <c r="E334" s="38"/>
      <c r="F334" s="46"/>
      <c r="G334" s="46"/>
      <c r="H334" s="41"/>
      <c r="I334" s="41"/>
      <c r="J334" s="41"/>
      <c r="K334" s="41"/>
      <c r="L334" s="33"/>
    </row>
    <row r="335" spans="2:12" x14ac:dyDescent="0.2">
      <c r="B335" s="33"/>
      <c r="D335" s="38"/>
      <c r="E335" s="38"/>
      <c r="F335" s="46"/>
      <c r="G335" s="46"/>
      <c r="H335" s="41"/>
      <c r="I335" s="41"/>
      <c r="J335" s="41"/>
      <c r="K335" s="41"/>
      <c r="L335" s="33"/>
    </row>
    <row r="336" spans="2:12" x14ac:dyDescent="0.2">
      <c r="B336" s="33"/>
      <c r="D336" s="38"/>
      <c r="E336" s="38"/>
      <c r="F336" s="46"/>
      <c r="G336" s="46"/>
      <c r="H336" s="41"/>
      <c r="I336" s="41"/>
      <c r="J336" s="41"/>
      <c r="K336" s="41"/>
      <c r="L336" s="33"/>
    </row>
    <row r="337" spans="2:12" x14ac:dyDescent="0.2">
      <c r="B337" s="33"/>
      <c r="D337" s="38"/>
      <c r="E337" s="38"/>
      <c r="F337" s="46"/>
      <c r="G337" s="46"/>
      <c r="H337" s="41"/>
      <c r="I337" s="41"/>
      <c r="J337" s="41"/>
      <c r="K337" s="41"/>
      <c r="L337" s="33"/>
    </row>
    <row r="338" spans="2:12" x14ac:dyDescent="0.2">
      <c r="B338" s="33"/>
      <c r="D338" s="38"/>
      <c r="E338" s="38"/>
      <c r="F338" s="46"/>
      <c r="G338" s="46"/>
      <c r="H338" s="41"/>
      <c r="I338" s="41"/>
      <c r="J338" s="41"/>
      <c r="K338" s="41"/>
      <c r="L338" s="33"/>
    </row>
    <row r="339" spans="2:12" x14ac:dyDescent="0.2">
      <c r="B339" s="33"/>
      <c r="D339" s="38"/>
      <c r="E339" s="38"/>
      <c r="F339" s="46"/>
      <c r="G339" s="46"/>
      <c r="H339" s="41"/>
      <c r="I339" s="41"/>
      <c r="J339" s="41"/>
      <c r="K339" s="41"/>
      <c r="L339" s="33"/>
    </row>
    <row r="340" spans="2:12" x14ac:dyDescent="0.2">
      <c r="B340" s="33"/>
      <c r="D340" s="38"/>
      <c r="E340" s="38"/>
      <c r="F340" s="46"/>
      <c r="G340" s="46"/>
      <c r="H340" s="41"/>
      <c r="I340" s="41"/>
      <c r="J340" s="41"/>
      <c r="K340" s="41"/>
      <c r="L340" s="33"/>
    </row>
    <row r="341" spans="2:12" x14ac:dyDescent="0.2">
      <c r="B341" s="33"/>
      <c r="D341" s="38"/>
      <c r="E341" s="38"/>
      <c r="F341" s="46"/>
      <c r="G341" s="46"/>
      <c r="H341" s="41"/>
      <c r="I341" s="41"/>
      <c r="J341" s="41"/>
      <c r="K341" s="41"/>
      <c r="L341" s="33"/>
    </row>
    <row r="342" spans="2:12" x14ac:dyDescent="0.2">
      <c r="B342" s="33"/>
      <c r="D342" s="38"/>
      <c r="E342" s="38"/>
      <c r="F342" s="46"/>
      <c r="G342" s="46"/>
      <c r="H342" s="41"/>
      <c r="I342" s="41"/>
      <c r="J342" s="41"/>
      <c r="K342" s="41"/>
      <c r="L342" s="33"/>
    </row>
    <row r="343" spans="2:12" x14ac:dyDescent="0.2">
      <c r="B343" s="33"/>
      <c r="D343" s="38"/>
      <c r="E343" s="38"/>
      <c r="F343" s="46"/>
      <c r="G343" s="46"/>
      <c r="H343" s="41"/>
      <c r="I343" s="41"/>
      <c r="J343" s="41"/>
      <c r="K343" s="41"/>
      <c r="L343" s="33"/>
    </row>
    <row r="344" spans="2:12" x14ac:dyDescent="0.2">
      <c r="B344" s="33"/>
      <c r="D344" s="38"/>
      <c r="E344" s="38"/>
      <c r="F344" s="46"/>
      <c r="G344" s="46"/>
      <c r="H344" s="41"/>
      <c r="I344" s="41"/>
      <c r="J344" s="41"/>
      <c r="K344" s="41"/>
      <c r="L344" s="33"/>
    </row>
    <row r="345" spans="2:12" x14ac:dyDescent="0.2">
      <c r="B345" s="33"/>
      <c r="D345" s="38"/>
      <c r="E345" s="38"/>
      <c r="F345" s="46"/>
      <c r="G345" s="46"/>
      <c r="H345" s="41"/>
      <c r="I345" s="41"/>
      <c r="J345" s="41"/>
      <c r="K345" s="41"/>
      <c r="L345" s="33"/>
    </row>
    <row r="346" spans="2:12" x14ac:dyDescent="0.2">
      <c r="B346" s="33"/>
      <c r="D346" s="38"/>
      <c r="E346" s="38"/>
      <c r="F346" s="46"/>
      <c r="G346" s="46"/>
      <c r="H346" s="41"/>
      <c r="I346" s="41"/>
      <c r="J346" s="41"/>
      <c r="K346" s="41"/>
      <c r="L346" s="33"/>
    </row>
    <row r="347" spans="2:12" x14ac:dyDescent="0.2">
      <c r="B347" s="33"/>
      <c r="D347" s="38"/>
      <c r="E347" s="38"/>
      <c r="F347" s="46"/>
      <c r="G347" s="46"/>
      <c r="H347" s="41"/>
      <c r="I347" s="41"/>
      <c r="J347" s="41"/>
      <c r="K347" s="41"/>
      <c r="L347" s="33"/>
    </row>
    <row r="348" spans="2:12" x14ac:dyDescent="0.2">
      <c r="B348" s="33"/>
      <c r="D348" s="38"/>
      <c r="E348" s="38"/>
      <c r="F348" s="46"/>
      <c r="G348" s="46"/>
      <c r="H348" s="41"/>
      <c r="I348" s="41"/>
      <c r="J348" s="41"/>
      <c r="K348" s="41"/>
      <c r="L348" s="33"/>
    </row>
    <row r="349" spans="2:12" x14ac:dyDescent="0.2">
      <c r="B349" s="33"/>
      <c r="D349" s="38"/>
      <c r="E349" s="38"/>
      <c r="F349" s="46"/>
      <c r="G349" s="46"/>
      <c r="H349" s="41"/>
      <c r="I349" s="41"/>
      <c r="J349" s="41"/>
      <c r="K349" s="41"/>
      <c r="L349" s="33"/>
    </row>
    <row r="350" spans="2:12" x14ac:dyDescent="0.2">
      <c r="B350" s="33"/>
      <c r="D350" s="38"/>
      <c r="E350" s="38"/>
      <c r="F350" s="46"/>
      <c r="G350" s="46"/>
      <c r="H350" s="41"/>
      <c r="I350" s="41"/>
      <c r="J350" s="41"/>
      <c r="K350" s="41"/>
      <c r="L350" s="33"/>
    </row>
    <row r="351" spans="2:12" x14ac:dyDescent="0.2">
      <c r="B351" s="33"/>
      <c r="D351" s="38"/>
      <c r="E351" s="38"/>
      <c r="F351" s="46"/>
      <c r="G351" s="46"/>
      <c r="H351" s="41"/>
      <c r="I351" s="41"/>
      <c r="J351" s="41"/>
      <c r="K351" s="41"/>
      <c r="L351" s="33"/>
    </row>
    <row r="352" spans="2:12" x14ac:dyDescent="0.2">
      <c r="B352" s="33"/>
      <c r="D352" s="38"/>
      <c r="E352" s="38"/>
      <c r="F352" s="46"/>
      <c r="G352" s="46"/>
      <c r="H352" s="41"/>
      <c r="I352" s="41"/>
      <c r="J352" s="41"/>
      <c r="K352" s="41"/>
      <c r="L352" s="33"/>
    </row>
    <row r="353" spans="2:12" x14ac:dyDescent="0.2">
      <c r="B353" s="33"/>
      <c r="D353" s="38"/>
      <c r="E353" s="38"/>
      <c r="F353" s="46"/>
      <c r="G353" s="46"/>
      <c r="H353" s="41"/>
      <c r="I353" s="41"/>
      <c r="J353" s="41"/>
      <c r="K353" s="41"/>
      <c r="L353" s="33"/>
    </row>
    <row r="354" spans="2:12" x14ac:dyDescent="0.2">
      <c r="B354" s="33"/>
      <c r="D354" s="38"/>
      <c r="E354" s="38"/>
      <c r="F354" s="46"/>
      <c r="G354" s="46"/>
      <c r="H354" s="41"/>
      <c r="I354" s="41"/>
      <c r="J354" s="41"/>
      <c r="K354" s="41"/>
      <c r="L354" s="33"/>
    </row>
    <row r="355" spans="2:12" x14ac:dyDescent="0.2">
      <c r="B355" s="33"/>
      <c r="D355" s="38"/>
      <c r="E355" s="38"/>
      <c r="F355" s="46"/>
      <c r="G355" s="46"/>
      <c r="H355" s="41"/>
      <c r="I355" s="41"/>
      <c r="J355" s="41"/>
      <c r="K355" s="41"/>
      <c r="L355" s="33"/>
    </row>
    <row r="356" spans="2:12" x14ac:dyDescent="0.2">
      <c r="B356" s="33"/>
      <c r="D356" s="38"/>
      <c r="E356" s="38"/>
      <c r="F356" s="46"/>
      <c r="G356" s="46"/>
      <c r="H356" s="41"/>
      <c r="I356" s="41"/>
      <c r="J356" s="41"/>
      <c r="K356" s="41"/>
      <c r="L356" s="33"/>
    </row>
    <row r="357" spans="2:12" x14ac:dyDescent="0.2">
      <c r="B357" s="33"/>
      <c r="D357" s="38"/>
      <c r="E357" s="38"/>
      <c r="F357" s="46"/>
      <c r="G357" s="46"/>
      <c r="H357" s="41"/>
      <c r="I357" s="41"/>
      <c r="J357" s="41"/>
      <c r="K357" s="41"/>
      <c r="L357" s="33"/>
    </row>
    <row r="358" spans="2:12" x14ac:dyDescent="0.2">
      <c r="B358" s="33"/>
      <c r="D358" s="38"/>
      <c r="E358" s="38"/>
      <c r="F358" s="46"/>
      <c r="G358" s="46"/>
      <c r="H358" s="41"/>
      <c r="I358" s="41"/>
      <c r="J358" s="41"/>
      <c r="K358" s="41"/>
      <c r="L358" s="33"/>
    </row>
    <row r="359" spans="2:12" x14ac:dyDescent="0.2">
      <c r="B359" s="33"/>
      <c r="D359" s="38"/>
      <c r="E359" s="38"/>
      <c r="F359" s="46"/>
      <c r="G359" s="46"/>
      <c r="H359" s="41"/>
      <c r="I359" s="41"/>
      <c r="J359" s="41"/>
      <c r="K359" s="41"/>
      <c r="L359" s="33"/>
    </row>
    <row r="360" spans="2:12" x14ac:dyDescent="0.2">
      <c r="B360" s="33"/>
      <c r="D360" s="38"/>
      <c r="E360" s="38"/>
      <c r="F360" s="46"/>
      <c r="G360" s="46"/>
      <c r="H360" s="41"/>
      <c r="I360" s="41"/>
      <c r="J360" s="41"/>
      <c r="K360" s="41"/>
      <c r="L360" s="33"/>
    </row>
    <row r="361" spans="2:12" x14ac:dyDescent="0.2">
      <c r="B361" s="33"/>
      <c r="D361" s="38"/>
      <c r="E361" s="38"/>
      <c r="F361" s="46"/>
      <c r="G361" s="46"/>
      <c r="H361" s="41"/>
      <c r="I361" s="41"/>
      <c r="J361" s="41"/>
      <c r="K361" s="41"/>
      <c r="L361" s="33"/>
    </row>
    <row r="362" spans="2:12" x14ac:dyDescent="0.2">
      <c r="B362" s="33"/>
      <c r="D362" s="38"/>
      <c r="E362" s="38"/>
      <c r="F362" s="46"/>
      <c r="G362" s="46"/>
      <c r="H362" s="41"/>
      <c r="I362" s="41"/>
      <c r="J362" s="41"/>
      <c r="K362" s="41"/>
      <c r="L362" s="33"/>
    </row>
    <row r="363" spans="2:12" x14ac:dyDescent="0.2">
      <c r="B363" s="33"/>
      <c r="D363" s="38"/>
      <c r="E363" s="38"/>
      <c r="F363" s="46"/>
      <c r="G363" s="46"/>
      <c r="H363" s="41"/>
      <c r="I363" s="41"/>
      <c r="J363" s="41"/>
      <c r="K363" s="41"/>
      <c r="L363" s="33"/>
    </row>
    <row r="364" spans="2:12" x14ac:dyDescent="0.2">
      <c r="B364" s="33"/>
      <c r="D364" s="38"/>
      <c r="E364" s="38"/>
      <c r="F364" s="46"/>
      <c r="G364" s="46"/>
      <c r="H364" s="41"/>
      <c r="I364" s="41"/>
      <c r="J364" s="41"/>
      <c r="K364" s="41"/>
      <c r="L364" s="33"/>
    </row>
    <row r="365" spans="2:12" x14ac:dyDescent="0.2">
      <c r="B365" s="33"/>
      <c r="D365" s="38"/>
      <c r="E365" s="38"/>
      <c r="F365" s="46"/>
      <c r="G365" s="46"/>
      <c r="H365" s="41"/>
      <c r="I365" s="41"/>
      <c r="J365" s="41"/>
      <c r="K365" s="41"/>
      <c r="L365" s="33"/>
    </row>
    <row r="366" spans="2:12" x14ac:dyDescent="0.2">
      <c r="B366" s="33"/>
      <c r="D366" s="38"/>
      <c r="E366" s="38"/>
      <c r="F366" s="46"/>
      <c r="G366" s="46"/>
      <c r="H366" s="41"/>
      <c r="I366" s="41"/>
      <c r="J366" s="41"/>
      <c r="K366" s="41"/>
      <c r="L366" s="33"/>
    </row>
    <row r="367" spans="2:12" x14ac:dyDescent="0.2">
      <c r="B367" s="33"/>
      <c r="D367" s="38"/>
      <c r="E367" s="38"/>
      <c r="F367" s="46"/>
      <c r="G367" s="46"/>
      <c r="H367" s="41"/>
      <c r="I367" s="41"/>
      <c r="J367" s="41"/>
      <c r="K367" s="41"/>
      <c r="L367" s="33"/>
    </row>
    <row r="368" spans="2:12" x14ac:dyDescent="0.2">
      <c r="B368" s="33"/>
      <c r="D368" s="38"/>
      <c r="E368" s="38"/>
      <c r="F368" s="46"/>
      <c r="G368" s="46"/>
      <c r="H368" s="41"/>
      <c r="I368" s="41"/>
      <c r="J368" s="41"/>
      <c r="K368" s="41"/>
      <c r="L368" s="33"/>
    </row>
    <row r="369" spans="2:12" x14ac:dyDescent="0.2">
      <c r="B369" s="33"/>
      <c r="D369" s="38"/>
      <c r="E369" s="38"/>
      <c r="F369" s="46"/>
      <c r="G369" s="46"/>
      <c r="H369" s="41"/>
      <c r="I369" s="41"/>
      <c r="J369" s="41"/>
      <c r="K369" s="41"/>
      <c r="L369" s="33"/>
    </row>
    <row r="370" spans="2:12" x14ac:dyDescent="0.2">
      <c r="B370" s="33"/>
      <c r="D370" s="38"/>
      <c r="E370" s="38"/>
      <c r="F370" s="46"/>
      <c r="G370" s="46"/>
      <c r="H370" s="41"/>
      <c r="I370" s="41"/>
      <c r="J370" s="41"/>
      <c r="K370" s="41"/>
      <c r="L370" s="33"/>
    </row>
    <row r="371" spans="2:12" x14ac:dyDescent="0.2">
      <c r="B371" s="33"/>
      <c r="D371" s="38"/>
      <c r="E371" s="38"/>
      <c r="F371" s="46"/>
      <c r="G371" s="46"/>
      <c r="H371" s="41"/>
      <c r="I371" s="41"/>
      <c r="J371" s="41"/>
      <c r="K371" s="41"/>
      <c r="L371" s="33"/>
    </row>
    <row r="372" spans="2:12" x14ac:dyDescent="0.2">
      <c r="B372" s="33"/>
      <c r="D372" s="38"/>
      <c r="E372" s="38"/>
      <c r="F372" s="46"/>
      <c r="G372" s="46"/>
      <c r="H372" s="41"/>
      <c r="I372" s="41"/>
      <c r="J372" s="41"/>
      <c r="K372" s="41"/>
      <c r="L372" s="33"/>
    </row>
    <row r="373" spans="2:12" x14ac:dyDescent="0.2">
      <c r="B373" s="33"/>
      <c r="D373" s="38"/>
      <c r="E373" s="38"/>
      <c r="F373" s="46"/>
      <c r="G373" s="46"/>
      <c r="H373" s="41"/>
      <c r="I373" s="41"/>
      <c r="J373" s="41"/>
      <c r="K373" s="41"/>
      <c r="L373" s="33"/>
    </row>
    <row r="374" spans="2:12" x14ac:dyDescent="0.2">
      <c r="B374" s="33"/>
      <c r="D374" s="38"/>
      <c r="E374" s="38"/>
      <c r="F374" s="46"/>
      <c r="G374" s="46"/>
      <c r="H374" s="41"/>
      <c r="I374" s="41"/>
      <c r="J374" s="41"/>
      <c r="K374" s="41"/>
      <c r="L374" s="33"/>
    </row>
    <row r="375" spans="2:12" x14ac:dyDescent="0.2">
      <c r="B375" s="33"/>
      <c r="D375" s="38"/>
      <c r="E375" s="38"/>
      <c r="F375" s="46"/>
      <c r="G375" s="46"/>
      <c r="H375" s="41"/>
      <c r="I375" s="41"/>
      <c r="J375" s="41"/>
      <c r="K375" s="41"/>
      <c r="L375" s="33"/>
    </row>
    <row r="376" spans="2:12" x14ac:dyDescent="0.2">
      <c r="B376" s="33"/>
      <c r="D376" s="38"/>
      <c r="E376" s="38"/>
      <c r="F376" s="46"/>
      <c r="G376" s="46"/>
      <c r="H376" s="41"/>
      <c r="I376" s="41"/>
      <c r="J376" s="41"/>
      <c r="K376" s="41"/>
      <c r="L376" s="33"/>
    </row>
    <row r="377" spans="2:12" x14ac:dyDescent="0.2">
      <c r="B377" s="33"/>
      <c r="D377" s="38"/>
      <c r="E377" s="38"/>
      <c r="F377" s="46"/>
      <c r="G377" s="46"/>
      <c r="H377" s="41"/>
      <c r="I377" s="41"/>
      <c r="J377" s="41"/>
      <c r="K377" s="41"/>
      <c r="L377" s="33"/>
    </row>
    <row r="378" spans="2:12" x14ac:dyDescent="0.2">
      <c r="B378" s="33"/>
      <c r="D378" s="38"/>
      <c r="E378" s="38"/>
      <c r="F378" s="46"/>
      <c r="G378" s="46"/>
      <c r="H378" s="41"/>
      <c r="I378" s="41"/>
      <c r="J378" s="41"/>
      <c r="K378" s="41"/>
      <c r="L378" s="33"/>
    </row>
    <row r="379" spans="2:12" x14ac:dyDescent="0.2">
      <c r="B379" s="33"/>
      <c r="D379" s="38"/>
      <c r="E379" s="38"/>
      <c r="F379" s="46"/>
      <c r="G379" s="46"/>
      <c r="H379" s="41"/>
      <c r="I379" s="41"/>
      <c r="J379" s="41"/>
      <c r="K379" s="41"/>
      <c r="L379" s="33"/>
    </row>
    <row r="380" spans="2:12" x14ac:dyDescent="0.2">
      <c r="B380" s="33"/>
      <c r="D380" s="38"/>
      <c r="E380" s="38"/>
      <c r="F380" s="46"/>
      <c r="G380" s="46"/>
      <c r="H380" s="41"/>
      <c r="I380" s="41"/>
      <c r="J380" s="41"/>
      <c r="K380" s="41"/>
      <c r="L380" s="33"/>
    </row>
    <row r="381" spans="2:12" x14ac:dyDescent="0.2">
      <c r="B381" s="33"/>
      <c r="D381" s="38"/>
      <c r="E381" s="38"/>
      <c r="F381" s="46"/>
      <c r="G381" s="46"/>
      <c r="H381" s="41"/>
      <c r="I381" s="41"/>
      <c r="J381" s="41"/>
      <c r="K381" s="41"/>
      <c r="L381" s="33"/>
    </row>
    <row r="382" spans="2:12" x14ac:dyDescent="0.2">
      <c r="B382" s="33"/>
      <c r="D382" s="38"/>
      <c r="E382" s="38"/>
      <c r="F382" s="46"/>
      <c r="G382" s="46"/>
      <c r="H382" s="41"/>
      <c r="I382" s="41"/>
      <c r="J382" s="41"/>
      <c r="K382" s="41"/>
      <c r="L382" s="33"/>
    </row>
    <row r="383" spans="2:12" x14ac:dyDescent="0.2">
      <c r="B383" s="33"/>
      <c r="D383" s="38"/>
      <c r="E383" s="38"/>
      <c r="F383" s="46"/>
      <c r="G383" s="46"/>
      <c r="H383" s="41"/>
      <c r="I383" s="41"/>
      <c r="J383" s="41"/>
      <c r="K383" s="41"/>
      <c r="L383" s="33"/>
    </row>
    <row r="384" spans="2:12" x14ac:dyDescent="0.2">
      <c r="B384" s="33"/>
      <c r="D384" s="38"/>
      <c r="E384" s="38"/>
      <c r="F384" s="46"/>
      <c r="G384" s="46"/>
      <c r="H384" s="41"/>
      <c r="I384" s="41"/>
      <c r="J384" s="41"/>
      <c r="K384" s="41"/>
      <c r="L384" s="33"/>
    </row>
    <row r="385" spans="2:12" x14ac:dyDescent="0.2">
      <c r="B385" s="33"/>
      <c r="D385" s="38"/>
      <c r="E385" s="38"/>
      <c r="F385" s="46"/>
      <c r="G385" s="46"/>
      <c r="H385" s="41"/>
      <c r="I385" s="41"/>
      <c r="J385" s="41"/>
      <c r="K385" s="41"/>
      <c r="L385" s="33"/>
    </row>
    <row r="386" spans="2:12" x14ac:dyDescent="0.2">
      <c r="B386" s="33"/>
      <c r="D386" s="38"/>
      <c r="E386" s="38"/>
      <c r="F386" s="46"/>
      <c r="G386" s="46"/>
      <c r="H386" s="41"/>
      <c r="I386" s="41"/>
      <c r="J386" s="41"/>
      <c r="K386" s="41"/>
      <c r="L386" s="33"/>
    </row>
    <row r="387" spans="2:12" x14ac:dyDescent="0.2">
      <c r="B387" s="33"/>
      <c r="D387" s="38"/>
      <c r="E387" s="38"/>
      <c r="F387" s="46"/>
      <c r="G387" s="46"/>
      <c r="H387" s="41"/>
      <c r="I387" s="41"/>
      <c r="J387" s="41"/>
      <c r="K387" s="41"/>
      <c r="L387" s="33"/>
    </row>
    <row r="388" spans="2:12" x14ac:dyDescent="0.2">
      <c r="B388" s="33"/>
      <c r="D388" s="38"/>
      <c r="E388" s="38"/>
      <c r="F388" s="46"/>
      <c r="G388" s="46"/>
      <c r="H388" s="41"/>
      <c r="I388" s="41"/>
      <c r="J388" s="41"/>
      <c r="K388" s="41"/>
      <c r="L388" s="33"/>
    </row>
    <row r="389" spans="2:12" x14ac:dyDescent="0.2">
      <c r="B389" s="33"/>
      <c r="D389" s="38"/>
      <c r="E389" s="38"/>
      <c r="F389" s="46"/>
      <c r="G389" s="46"/>
      <c r="H389" s="41"/>
      <c r="I389" s="41"/>
      <c r="J389" s="41"/>
      <c r="K389" s="41"/>
      <c r="L389" s="33"/>
    </row>
    <row r="390" spans="2:12" x14ac:dyDescent="0.2">
      <c r="B390" s="33"/>
      <c r="D390" s="38"/>
      <c r="E390" s="38"/>
      <c r="F390" s="46"/>
      <c r="G390" s="46"/>
      <c r="H390" s="41"/>
      <c r="I390" s="41"/>
      <c r="J390" s="41"/>
      <c r="K390" s="41"/>
      <c r="L390" s="33"/>
    </row>
    <row r="391" spans="2:12" x14ac:dyDescent="0.2">
      <c r="B391" s="33"/>
      <c r="D391" s="38"/>
      <c r="E391" s="38"/>
      <c r="F391" s="46"/>
      <c r="G391" s="46"/>
      <c r="H391" s="41"/>
      <c r="I391" s="41"/>
      <c r="J391" s="41"/>
      <c r="K391" s="41"/>
      <c r="L391" s="33"/>
    </row>
    <row r="392" spans="2:12" x14ac:dyDescent="0.2">
      <c r="B392" s="33"/>
      <c r="D392" s="38"/>
      <c r="E392" s="38"/>
      <c r="F392" s="46"/>
      <c r="G392" s="46"/>
      <c r="H392" s="41"/>
      <c r="I392" s="41"/>
      <c r="J392" s="41"/>
      <c r="K392" s="41"/>
      <c r="L392" s="33"/>
    </row>
    <row r="393" spans="2:12" x14ac:dyDescent="0.2">
      <c r="B393" s="33"/>
      <c r="D393" s="38"/>
      <c r="E393" s="38"/>
      <c r="F393" s="46"/>
      <c r="G393" s="46"/>
      <c r="H393" s="41"/>
      <c r="I393" s="41"/>
      <c r="J393" s="41"/>
      <c r="K393" s="41"/>
      <c r="L393" s="33"/>
    </row>
    <row r="394" spans="2:12" x14ac:dyDescent="0.2">
      <c r="B394" s="33"/>
      <c r="D394" s="38"/>
      <c r="E394" s="38"/>
      <c r="F394" s="46"/>
      <c r="G394" s="46"/>
      <c r="H394" s="41"/>
      <c r="I394" s="41"/>
      <c r="J394" s="41"/>
      <c r="K394" s="41"/>
      <c r="L394" s="33"/>
    </row>
    <row r="395" spans="2:12" x14ac:dyDescent="0.2">
      <c r="B395" s="33"/>
      <c r="D395" s="38"/>
      <c r="E395" s="38"/>
      <c r="F395" s="46"/>
      <c r="G395" s="46"/>
      <c r="H395" s="41"/>
      <c r="I395" s="41"/>
      <c r="J395" s="41"/>
      <c r="K395" s="41"/>
      <c r="L395" s="33"/>
    </row>
    <row r="396" spans="2:12" x14ac:dyDescent="0.2">
      <c r="B396" s="33"/>
      <c r="D396" s="38"/>
      <c r="E396" s="38"/>
      <c r="F396" s="46"/>
      <c r="G396" s="46"/>
      <c r="H396" s="41"/>
      <c r="I396" s="41"/>
      <c r="J396" s="41"/>
      <c r="K396" s="41"/>
      <c r="L396" s="33"/>
    </row>
    <row r="397" spans="2:12" x14ac:dyDescent="0.2">
      <c r="B397" s="33"/>
      <c r="D397" s="38"/>
      <c r="E397" s="38"/>
      <c r="F397" s="46"/>
      <c r="G397" s="46"/>
      <c r="H397" s="41"/>
      <c r="I397" s="41"/>
      <c r="J397" s="41"/>
      <c r="K397" s="41"/>
      <c r="L397" s="33"/>
    </row>
    <row r="398" spans="2:12" x14ac:dyDescent="0.2">
      <c r="B398" s="33"/>
      <c r="D398" s="38"/>
      <c r="E398" s="38"/>
      <c r="F398" s="46"/>
      <c r="G398" s="46"/>
      <c r="H398" s="41"/>
      <c r="I398" s="41"/>
      <c r="J398" s="41"/>
      <c r="K398" s="41"/>
      <c r="L398" s="33"/>
    </row>
    <row r="399" spans="2:12" x14ac:dyDescent="0.2">
      <c r="B399" s="33"/>
      <c r="D399" s="38"/>
      <c r="E399" s="38"/>
      <c r="F399" s="46"/>
      <c r="G399" s="46"/>
      <c r="H399" s="41"/>
      <c r="I399" s="41"/>
      <c r="J399" s="41"/>
      <c r="K399" s="41"/>
      <c r="L399" s="33"/>
    </row>
    <row r="400" spans="2:12" x14ac:dyDescent="0.2">
      <c r="B400" s="33"/>
      <c r="D400" s="38"/>
      <c r="E400" s="38"/>
      <c r="F400" s="46"/>
      <c r="G400" s="46"/>
      <c r="H400" s="41"/>
      <c r="I400" s="41"/>
      <c r="J400" s="41"/>
      <c r="K400" s="41"/>
      <c r="L400" s="33"/>
    </row>
    <row r="401" spans="2:12" x14ac:dyDescent="0.2">
      <c r="B401" s="33"/>
      <c r="D401" s="38"/>
      <c r="E401" s="38"/>
      <c r="F401" s="46"/>
      <c r="G401" s="46"/>
      <c r="H401" s="41"/>
      <c r="I401" s="41"/>
      <c r="J401" s="41"/>
      <c r="K401" s="41"/>
      <c r="L401" s="33"/>
    </row>
    <row r="402" spans="2:12" x14ac:dyDescent="0.2">
      <c r="B402" s="33"/>
      <c r="D402" s="38"/>
      <c r="E402" s="38"/>
      <c r="F402" s="46"/>
      <c r="G402" s="46"/>
      <c r="H402" s="41"/>
      <c r="I402" s="41"/>
      <c r="J402" s="41"/>
      <c r="K402" s="41"/>
      <c r="L402" s="33"/>
    </row>
    <row r="403" spans="2:12" x14ac:dyDescent="0.2">
      <c r="B403" s="33"/>
      <c r="D403" s="38"/>
      <c r="E403" s="38"/>
      <c r="F403" s="46"/>
      <c r="G403" s="46"/>
      <c r="H403" s="41"/>
      <c r="I403" s="41"/>
      <c r="J403" s="41"/>
      <c r="K403" s="41"/>
      <c r="L403" s="33"/>
    </row>
    <row r="404" spans="2:12" x14ac:dyDescent="0.2">
      <c r="B404" s="33"/>
      <c r="D404" s="38"/>
      <c r="E404" s="38"/>
      <c r="F404" s="46"/>
      <c r="G404" s="46"/>
      <c r="H404" s="41"/>
      <c r="I404" s="41"/>
      <c r="J404" s="41"/>
      <c r="K404" s="41"/>
      <c r="L404" s="33"/>
    </row>
    <row r="405" spans="2:12" x14ac:dyDescent="0.2">
      <c r="B405" s="33"/>
      <c r="D405" s="38"/>
      <c r="E405" s="38"/>
      <c r="F405" s="46"/>
      <c r="G405" s="46"/>
      <c r="H405" s="41"/>
      <c r="I405" s="41"/>
      <c r="J405" s="41"/>
      <c r="K405" s="41"/>
      <c r="L405" s="33"/>
    </row>
    <row r="406" spans="2:12" x14ac:dyDescent="0.2">
      <c r="B406" s="33"/>
      <c r="D406" s="38"/>
      <c r="E406" s="38"/>
      <c r="F406" s="46"/>
      <c r="G406" s="46"/>
      <c r="H406" s="41"/>
      <c r="I406" s="41"/>
      <c r="J406" s="41"/>
      <c r="K406" s="41"/>
      <c r="L406" s="33"/>
    </row>
    <row r="407" spans="2:12" x14ac:dyDescent="0.2">
      <c r="B407" s="33"/>
      <c r="D407" s="38"/>
      <c r="E407" s="38"/>
      <c r="F407" s="46"/>
      <c r="G407" s="46"/>
      <c r="H407" s="41"/>
      <c r="I407" s="41"/>
      <c r="J407" s="41"/>
      <c r="K407" s="41"/>
      <c r="L407" s="33"/>
    </row>
  </sheetData>
  <mergeCells count="18">
    <mergeCell ref="B72:B82"/>
    <mergeCell ref="B83:B93"/>
    <mergeCell ref="B160:B164"/>
    <mergeCell ref="B152:B159"/>
    <mergeCell ref="B3:B12"/>
    <mergeCell ref="B13:B21"/>
    <mergeCell ref="B22:B29"/>
    <mergeCell ref="B126:B134"/>
    <mergeCell ref="B34:B43"/>
    <mergeCell ref="B44:B52"/>
    <mergeCell ref="B94:B102"/>
    <mergeCell ref="B103:B112"/>
    <mergeCell ref="B113:B125"/>
    <mergeCell ref="B135:B142"/>
    <mergeCell ref="B143:B151"/>
    <mergeCell ref="B53:B60"/>
    <mergeCell ref="B61:B68"/>
    <mergeCell ref="B69:B7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53B0-0CB1-2649-BE65-CB0E2E660C54}">
  <dimension ref="A5:M54"/>
  <sheetViews>
    <sheetView topLeftCell="A2" zoomScale="140" workbookViewId="0">
      <selection activeCell="G13" sqref="G13"/>
    </sheetView>
  </sheetViews>
  <sheetFormatPr baseColWidth="10" defaultRowHeight="16" x14ac:dyDescent="0.2"/>
  <cols>
    <col min="2" max="2" width="3.1640625" bestFit="1" customWidth="1"/>
    <col min="3" max="3" width="39.33203125" bestFit="1" customWidth="1"/>
    <col min="4" max="4" width="13.83203125" bestFit="1" customWidth="1"/>
    <col min="5" max="5" width="15.83203125" bestFit="1" customWidth="1"/>
    <col min="6" max="6" width="43" bestFit="1" customWidth="1"/>
  </cols>
  <sheetData>
    <row r="5" spans="1:13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7" thickBot="1" x14ac:dyDescent="0.25">
      <c r="A6" s="4"/>
      <c r="B6" s="12"/>
      <c r="C6" s="12"/>
      <c r="D6" s="12"/>
      <c r="E6" s="12"/>
      <c r="F6" s="12"/>
      <c r="G6" s="4"/>
      <c r="H6" s="4"/>
      <c r="I6" s="4"/>
      <c r="J6" s="4"/>
      <c r="K6" s="4"/>
      <c r="L6" s="4"/>
      <c r="M6" s="4"/>
    </row>
    <row r="7" spans="1:13" x14ac:dyDescent="0.2">
      <c r="A7" s="4"/>
      <c r="B7" s="151" t="s">
        <v>194</v>
      </c>
      <c r="C7" s="150" t="s">
        <v>195</v>
      </c>
      <c r="D7" s="150" t="s">
        <v>196</v>
      </c>
      <c r="E7" s="150" t="s">
        <v>197</v>
      </c>
      <c r="F7" s="150" t="s">
        <v>198</v>
      </c>
      <c r="G7" s="4"/>
      <c r="H7" s="4"/>
      <c r="I7" s="4"/>
      <c r="J7" s="4"/>
      <c r="K7" s="4"/>
      <c r="L7" s="4"/>
      <c r="M7" s="4"/>
    </row>
    <row r="8" spans="1:13" x14ac:dyDescent="0.2">
      <c r="A8" s="3"/>
      <c r="B8" s="17">
        <v>1</v>
      </c>
      <c r="C8" s="17" t="s">
        <v>178</v>
      </c>
      <c r="D8" s="17" t="s">
        <v>179</v>
      </c>
      <c r="E8" s="17" t="s">
        <v>180</v>
      </c>
      <c r="F8" s="17" t="s">
        <v>181</v>
      </c>
      <c r="G8" s="4"/>
      <c r="H8" s="4"/>
      <c r="I8" s="4"/>
      <c r="J8" s="4"/>
      <c r="K8" s="4"/>
      <c r="L8" s="4"/>
      <c r="M8" s="4"/>
    </row>
    <row r="9" spans="1:13" x14ac:dyDescent="0.2">
      <c r="A9" s="3"/>
      <c r="B9" s="17">
        <v>2</v>
      </c>
      <c r="C9" s="17" t="s">
        <v>182</v>
      </c>
      <c r="D9" s="17" t="s">
        <v>183</v>
      </c>
      <c r="E9" s="17" t="s">
        <v>184</v>
      </c>
      <c r="F9" s="17" t="s">
        <v>185</v>
      </c>
      <c r="G9" s="4"/>
      <c r="H9" s="4"/>
      <c r="I9" s="4"/>
      <c r="J9" s="4"/>
      <c r="K9" s="4"/>
      <c r="L9" s="4"/>
      <c r="M9" s="4"/>
    </row>
    <row r="10" spans="1:13" x14ac:dyDescent="0.2">
      <c r="A10" s="3"/>
      <c r="B10" s="17">
        <v>3</v>
      </c>
      <c r="C10" s="17" t="s">
        <v>186</v>
      </c>
      <c r="D10" s="17" t="s">
        <v>187</v>
      </c>
      <c r="E10" s="17" t="s">
        <v>188</v>
      </c>
      <c r="F10" s="17" t="s">
        <v>189</v>
      </c>
      <c r="G10" s="4"/>
      <c r="H10" s="4"/>
      <c r="I10" s="4"/>
      <c r="J10" s="4"/>
      <c r="K10" s="4"/>
      <c r="L10" s="4"/>
      <c r="M10" s="4"/>
    </row>
    <row r="11" spans="1:13" ht="17" thickBot="1" x14ac:dyDescent="0.25">
      <c r="A11" s="3"/>
      <c r="B11" s="141">
        <v>4</v>
      </c>
      <c r="C11" s="141" t="s">
        <v>190</v>
      </c>
      <c r="D11" s="141" t="s">
        <v>191</v>
      </c>
      <c r="E11" s="141" t="s">
        <v>192</v>
      </c>
      <c r="F11" s="141" t="s">
        <v>193</v>
      </c>
      <c r="G11" s="4"/>
      <c r="H11" s="4"/>
      <c r="I11" s="4"/>
      <c r="J11" s="4"/>
      <c r="K11" s="4"/>
      <c r="L11" s="4"/>
      <c r="M11" s="4"/>
    </row>
    <row r="12" spans="1:13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7" thickBo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">
      <c r="A15" s="4"/>
      <c r="B15" s="151" t="s">
        <v>194</v>
      </c>
      <c r="C15" s="150" t="s">
        <v>195</v>
      </c>
      <c r="D15" s="150" t="s">
        <v>196</v>
      </c>
      <c r="E15" s="150" t="s">
        <v>197</v>
      </c>
      <c r="F15" s="150" t="s">
        <v>198</v>
      </c>
      <c r="G15" s="4"/>
      <c r="H15" s="4"/>
      <c r="I15" s="4"/>
      <c r="J15" s="4"/>
      <c r="K15" s="4"/>
      <c r="L15" s="4"/>
      <c r="M15" s="4"/>
    </row>
    <row r="16" spans="1:13" x14ac:dyDescent="0.2">
      <c r="A16" s="3"/>
      <c r="B16" s="17">
        <v>1</v>
      </c>
      <c r="C16" s="17" t="s">
        <v>199</v>
      </c>
      <c r="D16" s="17" t="s">
        <v>200</v>
      </c>
      <c r="E16" s="17" t="s">
        <v>201</v>
      </c>
      <c r="F16" s="17" t="s">
        <v>202</v>
      </c>
      <c r="G16" s="4"/>
      <c r="H16" s="4"/>
      <c r="I16" s="4"/>
      <c r="J16" s="4"/>
      <c r="K16" s="4"/>
      <c r="L16" s="4"/>
      <c r="M16" s="4"/>
    </row>
    <row r="17" spans="1:13" x14ac:dyDescent="0.2">
      <c r="A17" s="3"/>
      <c r="B17" s="17">
        <v>2</v>
      </c>
      <c r="C17" s="17" t="s">
        <v>203</v>
      </c>
      <c r="D17" s="17" t="s">
        <v>204</v>
      </c>
      <c r="E17" s="17" t="s">
        <v>201</v>
      </c>
      <c r="F17" s="17" t="s">
        <v>205</v>
      </c>
      <c r="G17" s="4"/>
      <c r="H17" s="4"/>
      <c r="I17" s="4"/>
      <c r="J17" s="4"/>
      <c r="K17" s="4"/>
      <c r="L17" s="4"/>
      <c r="M17" s="4"/>
    </row>
    <row r="18" spans="1:13" x14ac:dyDescent="0.2">
      <c r="A18" s="3"/>
      <c r="B18" s="17">
        <v>3</v>
      </c>
      <c r="C18" s="17" t="s">
        <v>206</v>
      </c>
      <c r="D18" s="17" t="s">
        <v>207</v>
      </c>
      <c r="E18" s="17" t="s">
        <v>208</v>
      </c>
      <c r="F18" s="17" t="s">
        <v>209</v>
      </c>
      <c r="G18" s="4"/>
      <c r="H18" s="4"/>
      <c r="I18" s="4"/>
      <c r="J18" s="4"/>
      <c r="K18" s="4"/>
      <c r="L18" s="4"/>
      <c r="M18" s="4"/>
    </row>
    <row r="19" spans="1:13" x14ac:dyDescent="0.2">
      <c r="A19" s="3"/>
      <c r="B19" s="17">
        <v>4</v>
      </c>
      <c r="C19" s="17" t="s">
        <v>210</v>
      </c>
      <c r="D19" s="17" t="s">
        <v>211</v>
      </c>
      <c r="E19" s="17" t="s">
        <v>208</v>
      </c>
      <c r="F19" s="17" t="s">
        <v>212</v>
      </c>
      <c r="G19" s="4"/>
      <c r="H19" s="4"/>
      <c r="I19" s="4"/>
      <c r="J19" s="4"/>
      <c r="K19" s="4"/>
      <c r="L19" s="4"/>
      <c r="M19" s="4"/>
    </row>
    <row r="20" spans="1:13" x14ac:dyDescent="0.2">
      <c r="A20" s="3"/>
      <c r="B20" s="17">
        <v>5</v>
      </c>
      <c r="C20" s="17" t="s">
        <v>213</v>
      </c>
      <c r="D20" s="17" t="s">
        <v>214</v>
      </c>
      <c r="E20" s="17" t="s">
        <v>215</v>
      </c>
      <c r="F20" s="17" t="s">
        <v>216</v>
      </c>
      <c r="G20" s="4"/>
      <c r="H20" s="4"/>
      <c r="I20" s="4"/>
      <c r="J20" s="4"/>
      <c r="K20" s="4"/>
      <c r="L20" s="4"/>
      <c r="M20" s="4"/>
    </row>
    <row r="21" spans="1:13" x14ac:dyDescent="0.2">
      <c r="A21" s="3"/>
      <c r="B21" s="17">
        <v>6</v>
      </c>
      <c r="C21" s="17" t="s">
        <v>217</v>
      </c>
      <c r="D21" s="17" t="s">
        <v>218</v>
      </c>
      <c r="E21" s="17" t="s">
        <v>215</v>
      </c>
      <c r="F21" s="17" t="s">
        <v>219</v>
      </c>
      <c r="G21" s="4"/>
      <c r="H21" s="4"/>
      <c r="I21" s="4"/>
      <c r="J21" s="4"/>
      <c r="K21" s="4"/>
      <c r="L21" s="4"/>
      <c r="M21" s="4"/>
    </row>
    <row r="22" spans="1:13" x14ac:dyDescent="0.2">
      <c r="A22" s="3"/>
      <c r="B22" s="17">
        <v>7</v>
      </c>
      <c r="C22" s="17" t="s">
        <v>220</v>
      </c>
      <c r="D22" s="17" t="s">
        <v>221</v>
      </c>
      <c r="E22" s="17" t="s">
        <v>215</v>
      </c>
      <c r="F22" s="17" t="s">
        <v>222</v>
      </c>
      <c r="G22" s="4"/>
      <c r="H22" s="4"/>
      <c r="I22" s="4"/>
      <c r="J22" s="4"/>
      <c r="K22" s="4"/>
      <c r="L22" s="4"/>
      <c r="M22" s="4"/>
    </row>
    <row r="23" spans="1:13" x14ac:dyDescent="0.2">
      <c r="A23" s="3"/>
      <c r="B23" s="17">
        <v>8</v>
      </c>
      <c r="C23" s="17" t="s">
        <v>223</v>
      </c>
      <c r="D23" s="17" t="s">
        <v>224</v>
      </c>
      <c r="E23" s="17" t="s">
        <v>215</v>
      </c>
      <c r="F23" s="17" t="s">
        <v>225</v>
      </c>
      <c r="G23" s="4"/>
      <c r="H23" s="4"/>
      <c r="I23" s="4"/>
      <c r="J23" s="4"/>
      <c r="K23" s="4"/>
      <c r="L23" s="4"/>
      <c r="M23" s="4"/>
    </row>
    <row r="24" spans="1:13" x14ac:dyDescent="0.2">
      <c r="A24" s="3"/>
      <c r="B24" s="17">
        <v>9</v>
      </c>
      <c r="C24" s="17" t="s">
        <v>226</v>
      </c>
      <c r="D24" s="17" t="s">
        <v>227</v>
      </c>
      <c r="E24" s="17" t="s">
        <v>228</v>
      </c>
      <c r="F24" s="17" t="s">
        <v>229</v>
      </c>
      <c r="G24" s="4"/>
      <c r="H24" s="4"/>
      <c r="I24" s="4"/>
      <c r="J24" s="4"/>
      <c r="K24" s="4"/>
      <c r="L24" s="4"/>
      <c r="M24" s="4"/>
    </row>
    <row r="25" spans="1:13" x14ac:dyDescent="0.2">
      <c r="A25" s="3"/>
      <c r="B25" s="17">
        <v>10</v>
      </c>
      <c r="C25" s="17" t="s">
        <v>230</v>
      </c>
      <c r="D25" s="17" t="s">
        <v>231</v>
      </c>
      <c r="E25" s="17" t="s">
        <v>232</v>
      </c>
      <c r="F25" s="17" t="s">
        <v>233</v>
      </c>
      <c r="G25" s="4"/>
      <c r="H25" s="4"/>
      <c r="I25" s="4"/>
      <c r="J25" s="4"/>
      <c r="K25" s="4"/>
      <c r="L25" s="4"/>
      <c r="M25" s="4"/>
    </row>
    <row r="26" spans="1:13" x14ac:dyDescent="0.2">
      <c r="A26" s="3"/>
      <c r="B26" s="17">
        <v>11</v>
      </c>
      <c r="C26" s="17" t="s">
        <v>234</v>
      </c>
      <c r="D26" s="17" t="s">
        <v>235</v>
      </c>
      <c r="E26" s="17" t="s">
        <v>232</v>
      </c>
      <c r="F26" s="17" t="s">
        <v>236</v>
      </c>
      <c r="G26" s="4"/>
      <c r="H26" s="4"/>
      <c r="I26" s="4"/>
      <c r="J26" s="4"/>
      <c r="K26" s="4"/>
      <c r="L26" s="4"/>
      <c r="M26" s="4"/>
    </row>
    <row r="27" spans="1:13" x14ac:dyDescent="0.2">
      <c r="A27" s="3"/>
      <c r="B27" s="17">
        <v>12</v>
      </c>
      <c r="C27" s="17" t="s">
        <v>237</v>
      </c>
      <c r="D27" s="17" t="s">
        <v>238</v>
      </c>
      <c r="E27" s="17" t="s">
        <v>239</v>
      </c>
      <c r="F27" s="17" t="s">
        <v>240</v>
      </c>
      <c r="G27" s="4"/>
      <c r="H27" s="4"/>
      <c r="I27" s="4"/>
      <c r="J27" s="4"/>
      <c r="K27" s="4"/>
      <c r="L27" s="4"/>
      <c r="M27" s="4"/>
    </row>
    <row r="28" spans="1:13" x14ac:dyDescent="0.2">
      <c r="A28" s="3"/>
      <c r="B28" s="17">
        <v>13</v>
      </c>
      <c r="C28" s="17" t="s">
        <v>241</v>
      </c>
      <c r="D28" s="17" t="s">
        <v>242</v>
      </c>
      <c r="E28" s="17" t="s">
        <v>239</v>
      </c>
      <c r="F28" s="17" t="s">
        <v>243</v>
      </c>
      <c r="G28" s="4"/>
      <c r="H28" s="4"/>
      <c r="I28" s="4"/>
      <c r="J28" s="4"/>
      <c r="K28" s="4"/>
      <c r="L28" s="4"/>
      <c r="M28" s="4"/>
    </row>
    <row r="29" spans="1:13" x14ac:dyDescent="0.2">
      <c r="A29" s="3"/>
      <c r="B29" s="17">
        <v>14</v>
      </c>
      <c r="C29" s="17" t="s">
        <v>244</v>
      </c>
      <c r="D29" s="17" t="s">
        <v>245</v>
      </c>
      <c r="E29" s="17" t="s">
        <v>239</v>
      </c>
      <c r="F29" s="17" t="s">
        <v>246</v>
      </c>
      <c r="G29" s="4"/>
      <c r="H29" s="4"/>
      <c r="I29" s="4"/>
      <c r="J29" s="4"/>
      <c r="K29" s="4"/>
      <c r="L29" s="4"/>
      <c r="M29" s="4"/>
    </row>
    <row r="30" spans="1:13" x14ac:dyDescent="0.2">
      <c r="A30" s="3"/>
      <c r="B30" s="17">
        <v>15</v>
      </c>
      <c r="C30" s="17" t="s">
        <v>247</v>
      </c>
      <c r="D30" s="17" t="s">
        <v>248</v>
      </c>
      <c r="E30" s="17" t="s">
        <v>249</v>
      </c>
      <c r="F30" s="17" t="s">
        <v>250</v>
      </c>
      <c r="G30" s="4"/>
      <c r="H30" s="4"/>
      <c r="I30" s="4"/>
      <c r="J30" s="4"/>
      <c r="K30" s="4"/>
      <c r="L30" s="4"/>
      <c r="M30" s="4"/>
    </row>
    <row r="31" spans="1:13" x14ac:dyDescent="0.2">
      <c r="A31" s="3"/>
      <c r="B31" s="17">
        <v>16</v>
      </c>
      <c r="C31" s="17" t="s">
        <v>251</v>
      </c>
      <c r="D31" s="17" t="s">
        <v>252</v>
      </c>
      <c r="E31" s="17" t="s">
        <v>249</v>
      </c>
      <c r="F31" s="17" t="s">
        <v>253</v>
      </c>
      <c r="G31" s="4"/>
      <c r="H31" s="4"/>
      <c r="I31" s="4"/>
      <c r="J31" s="4"/>
      <c r="K31" s="4"/>
      <c r="L31" s="4"/>
      <c r="M31" s="4"/>
    </row>
    <row r="32" spans="1:13" x14ac:dyDescent="0.2">
      <c r="A32" s="3"/>
      <c r="B32" s="17">
        <v>17</v>
      </c>
      <c r="C32" s="17" t="s">
        <v>254</v>
      </c>
      <c r="D32" s="17" t="s">
        <v>255</v>
      </c>
      <c r="E32" s="17" t="s">
        <v>215</v>
      </c>
      <c r="F32" s="17" t="s">
        <v>256</v>
      </c>
      <c r="G32" s="4"/>
      <c r="H32" s="4"/>
      <c r="I32" s="4"/>
      <c r="J32" s="4"/>
      <c r="K32" s="4"/>
      <c r="L32" s="4"/>
      <c r="M32" s="4"/>
    </row>
    <row r="33" spans="1:13" x14ac:dyDescent="0.2">
      <c r="A33" s="3"/>
      <c r="B33" s="17">
        <v>18</v>
      </c>
      <c r="C33" s="17" t="s">
        <v>257</v>
      </c>
      <c r="D33" s="17" t="s">
        <v>258</v>
      </c>
      <c r="E33" s="17" t="s">
        <v>239</v>
      </c>
      <c r="F33" s="17" t="s">
        <v>259</v>
      </c>
      <c r="G33" s="4"/>
      <c r="H33" s="4"/>
      <c r="I33" s="4"/>
      <c r="J33" s="4"/>
      <c r="K33" s="4"/>
      <c r="L33" s="4"/>
      <c r="M33" s="4"/>
    </row>
    <row r="34" spans="1:13" x14ac:dyDescent="0.2">
      <c r="A34" s="3"/>
      <c r="B34" s="17">
        <v>19</v>
      </c>
      <c r="C34" s="17" t="s">
        <v>260</v>
      </c>
      <c r="D34" s="17" t="s">
        <v>261</v>
      </c>
      <c r="E34" s="17" t="s">
        <v>215</v>
      </c>
      <c r="F34" s="17" t="s">
        <v>262</v>
      </c>
      <c r="G34" s="4"/>
      <c r="H34" s="4"/>
      <c r="I34" s="4"/>
      <c r="J34" s="4"/>
      <c r="K34" s="4"/>
      <c r="L34" s="4"/>
      <c r="M34" s="4"/>
    </row>
    <row r="35" spans="1:13" x14ac:dyDescent="0.2">
      <c r="A35" s="3"/>
      <c r="B35" s="17">
        <v>20</v>
      </c>
      <c r="C35" s="17" t="s">
        <v>263</v>
      </c>
      <c r="D35" s="17" t="s">
        <v>264</v>
      </c>
      <c r="E35" s="17" t="s">
        <v>215</v>
      </c>
      <c r="F35" s="17" t="s">
        <v>265</v>
      </c>
      <c r="G35" s="4"/>
      <c r="H35" s="4"/>
      <c r="I35" s="4"/>
      <c r="J35" s="4"/>
      <c r="K35" s="4"/>
      <c r="L35" s="4"/>
      <c r="M35" s="4"/>
    </row>
    <row r="36" spans="1:13" x14ac:dyDescent="0.2">
      <c r="A36" s="3"/>
      <c r="B36" s="17">
        <v>21</v>
      </c>
      <c r="C36" s="17" t="s">
        <v>266</v>
      </c>
      <c r="D36" s="17" t="s">
        <v>267</v>
      </c>
      <c r="E36" s="17" t="s">
        <v>268</v>
      </c>
      <c r="F36" s="17" t="s">
        <v>269</v>
      </c>
      <c r="G36" s="4"/>
      <c r="H36" s="4"/>
      <c r="I36" s="4"/>
      <c r="J36" s="4"/>
      <c r="K36" s="4"/>
      <c r="L36" s="4"/>
      <c r="M36" s="4"/>
    </row>
    <row r="37" spans="1:13" x14ac:dyDescent="0.2">
      <c r="A37" s="3"/>
      <c r="B37" s="17">
        <v>22</v>
      </c>
      <c r="C37" s="17" t="s">
        <v>270</v>
      </c>
      <c r="D37" s="17" t="s">
        <v>271</v>
      </c>
      <c r="E37" s="17" t="s">
        <v>268</v>
      </c>
      <c r="F37" s="17" t="s">
        <v>272</v>
      </c>
      <c r="G37" s="4"/>
      <c r="H37" s="4"/>
      <c r="I37" s="4"/>
      <c r="J37" s="4"/>
      <c r="K37" s="4"/>
      <c r="L37" s="4"/>
      <c r="M37" s="4"/>
    </row>
    <row r="38" spans="1:13" x14ac:dyDescent="0.2">
      <c r="A38" s="3"/>
      <c r="B38" s="17">
        <v>23</v>
      </c>
      <c r="C38" s="17" t="s">
        <v>273</v>
      </c>
      <c r="D38" s="17" t="s">
        <v>274</v>
      </c>
      <c r="E38" s="17" t="s">
        <v>275</v>
      </c>
      <c r="F38" s="17" t="s">
        <v>276</v>
      </c>
      <c r="G38" s="4"/>
      <c r="H38" s="4"/>
      <c r="I38" s="4"/>
      <c r="J38" s="4"/>
      <c r="K38" s="4"/>
      <c r="L38" s="4"/>
      <c r="M38" s="4"/>
    </row>
    <row r="39" spans="1:13" ht="17" thickBot="1" x14ac:dyDescent="0.25">
      <c r="A39" s="3"/>
      <c r="B39" s="141">
        <v>24</v>
      </c>
      <c r="C39" s="141" t="s">
        <v>277</v>
      </c>
      <c r="D39" s="141" t="s">
        <v>278</v>
      </c>
      <c r="E39" s="141" t="s">
        <v>275</v>
      </c>
      <c r="F39" s="141" t="s">
        <v>279</v>
      </c>
      <c r="G39" s="4"/>
      <c r="H39" s="4"/>
      <c r="I39" s="4"/>
      <c r="J39" s="4"/>
      <c r="K39" s="4"/>
      <c r="L39" s="4"/>
      <c r="M39" s="4"/>
    </row>
    <row r="40" spans="1:13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A132-E79C-C746-9491-5D1F9BE725FA}">
  <dimension ref="A1:W395"/>
  <sheetViews>
    <sheetView zoomScale="108" workbookViewId="0">
      <selection activeCell="C90" sqref="C90:G90"/>
    </sheetView>
  </sheetViews>
  <sheetFormatPr baseColWidth="10" defaultRowHeight="16" x14ac:dyDescent="0.2"/>
  <cols>
    <col min="2" max="2" width="13.83203125" bestFit="1" customWidth="1"/>
    <col min="3" max="3" width="17.33203125" style="33" bestFit="1" customWidth="1"/>
    <col min="4" max="5" width="10.5" style="37" bestFit="1" customWidth="1"/>
    <col min="6" max="6" width="11.83203125" style="47" bestFit="1" customWidth="1"/>
    <col min="7" max="7" width="13" style="47" bestFit="1" customWidth="1"/>
    <col min="8" max="8" width="11.5" style="42" bestFit="1" customWidth="1"/>
    <col min="9" max="9" width="12.83203125" style="42" bestFit="1" customWidth="1"/>
    <col min="10" max="10" width="12.5" style="42" bestFit="1" customWidth="1"/>
    <col min="11" max="11" width="9" style="42" bestFit="1" customWidth="1"/>
  </cols>
  <sheetData>
    <row r="1" spans="1:23" ht="17" thickBot="1" x14ac:dyDescent="0.25">
      <c r="A1" s="6"/>
      <c r="B1" s="16"/>
      <c r="C1" s="32"/>
      <c r="D1" s="34"/>
      <c r="E1" s="34"/>
      <c r="F1" s="43"/>
      <c r="G1" s="43"/>
      <c r="H1" s="39"/>
      <c r="I1" s="39"/>
      <c r="J1" s="39"/>
      <c r="K1" s="91"/>
      <c r="L1" s="4"/>
      <c r="M1" s="4"/>
    </row>
    <row r="2" spans="1:23" x14ac:dyDescent="0.2">
      <c r="A2" s="6"/>
      <c r="B2" s="28" t="s">
        <v>39</v>
      </c>
      <c r="C2" s="29" t="s">
        <v>40</v>
      </c>
      <c r="D2" s="35" t="s">
        <v>46</v>
      </c>
      <c r="E2" s="35" t="s">
        <v>56</v>
      </c>
      <c r="F2" s="44" t="s">
        <v>54</v>
      </c>
      <c r="G2" s="44" t="s">
        <v>53</v>
      </c>
      <c r="H2" s="28" t="s">
        <v>153</v>
      </c>
      <c r="I2" s="30" t="s">
        <v>51</v>
      </c>
      <c r="J2" s="30" t="s">
        <v>52</v>
      </c>
      <c r="K2" s="30" t="s">
        <v>50</v>
      </c>
      <c r="L2" s="4"/>
      <c r="M2" s="4"/>
    </row>
    <row r="3" spans="1:23" x14ac:dyDescent="0.2">
      <c r="A3" s="15"/>
      <c r="B3" s="233" t="s">
        <v>8</v>
      </c>
      <c r="C3" s="94" t="s">
        <v>16</v>
      </c>
      <c r="D3" s="95">
        <v>43899</v>
      </c>
      <c r="E3" s="95">
        <v>45124</v>
      </c>
      <c r="F3" s="96">
        <v>0.33162930000000002</v>
      </c>
      <c r="G3" s="96">
        <v>0.49318918</v>
      </c>
      <c r="H3" s="97">
        <f>F3-G3</f>
        <v>-0.16155987999999999</v>
      </c>
      <c r="I3" s="63" t="s">
        <v>44</v>
      </c>
      <c r="J3" s="63" t="s">
        <v>43</v>
      </c>
      <c r="K3" s="97" t="s">
        <v>148</v>
      </c>
      <c r="L3" s="4"/>
      <c r="M3" s="4"/>
    </row>
    <row r="4" spans="1:23" x14ac:dyDescent="0.2">
      <c r="A4" s="15"/>
      <c r="B4" s="219"/>
      <c r="C4" s="83" t="s">
        <v>36</v>
      </c>
      <c r="D4" s="98">
        <v>43902</v>
      </c>
      <c r="E4" s="98">
        <v>45355</v>
      </c>
      <c r="F4" s="84">
        <v>0.51271979999999995</v>
      </c>
      <c r="G4" s="84">
        <v>0.63647860999999994</v>
      </c>
      <c r="H4" s="92">
        <f t="shared" ref="H4:H30" si="0">F4-G4</f>
        <v>-0.12375881</v>
      </c>
      <c r="I4" s="99" t="s">
        <v>43</v>
      </c>
      <c r="J4" s="99" t="s">
        <v>43</v>
      </c>
      <c r="K4" s="92" t="s">
        <v>150</v>
      </c>
      <c r="L4" s="4"/>
      <c r="M4" s="4"/>
    </row>
    <row r="5" spans="1:23" x14ac:dyDescent="0.2">
      <c r="A5" s="15"/>
      <c r="B5" s="219"/>
      <c r="C5" s="83" t="s">
        <v>38</v>
      </c>
      <c r="D5" s="98">
        <v>43925</v>
      </c>
      <c r="E5" s="98">
        <v>45489</v>
      </c>
      <c r="F5" s="84">
        <v>0.77018200000000003</v>
      </c>
      <c r="G5" s="84">
        <v>0.81120667000000002</v>
      </c>
      <c r="H5" s="92">
        <f t="shared" si="0"/>
        <v>-4.1024669999999985E-2</v>
      </c>
      <c r="I5" s="99" t="s">
        <v>43</v>
      </c>
      <c r="J5" s="99" t="s">
        <v>43</v>
      </c>
      <c r="K5" s="92" t="s">
        <v>150</v>
      </c>
      <c r="L5" s="4"/>
      <c r="M5" s="4"/>
    </row>
    <row r="6" spans="1:23" x14ac:dyDescent="0.2">
      <c r="A6" s="15"/>
      <c r="B6" s="219"/>
      <c r="C6" s="19" t="s">
        <v>9</v>
      </c>
      <c r="D6" s="100">
        <v>43957</v>
      </c>
      <c r="E6" s="100">
        <v>45162</v>
      </c>
      <c r="F6" s="71">
        <v>0.32800560000000001</v>
      </c>
      <c r="G6" s="71">
        <v>4.8392369999999997E-2</v>
      </c>
      <c r="H6" s="80">
        <f t="shared" si="0"/>
        <v>0.27961322999999999</v>
      </c>
      <c r="I6" s="70" t="s">
        <v>43</v>
      </c>
      <c r="J6" s="70" t="s">
        <v>44</v>
      </c>
      <c r="K6" s="80" t="s">
        <v>149</v>
      </c>
      <c r="L6" s="4"/>
      <c r="M6" s="4"/>
    </row>
    <row r="7" spans="1:23" x14ac:dyDescent="0.2">
      <c r="A7" s="15"/>
      <c r="B7" s="219"/>
      <c r="C7" s="83" t="s">
        <v>20</v>
      </c>
      <c r="D7" s="98">
        <v>44042</v>
      </c>
      <c r="E7" s="98">
        <v>45526</v>
      </c>
      <c r="F7" s="84">
        <v>0.41299649999999999</v>
      </c>
      <c r="G7" s="84">
        <v>0.51197404999999996</v>
      </c>
      <c r="H7" s="92">
        <f t="shared" si="0"/>
        <v>-9.897754999999997E-2</v>
      </c>
      <c r="I7" s="99" t="s">
        <v>43</v>
      </c>
      <c r="J7" s="99" t="s">
        <v>43</v>
      </c>
      <c r="K7" s="92" t="s">
        <v>150</v>
      </c>
      <c r="L7" s="4"/>
      <c r="M7" s="4"/>
    </row>
    <row r="8" spans="1:23" x14ac:dyDescent="0.2">
      <c r="A8" s="15"/>
      <c r="B8" s="219"/>
      <c r="C8" s="83" t="s">
        <v>27</v>
      </c>
      <c r="D8" s="98">
        <v>44061</v>
      </c>
      <c r="E8" s="98">
        <v>45532</v>
      </c>
      <c r="F8" s="84">
        <v>0.49978060000000002</v>
      </c>
      <c r="G8" s="84">
        <v>0.59102310000000002</v>
      </c>
      <c r="H8" s="92">
        <f t="shared" si="0"/>
        <v>-9.1242500000000004E-2</v>
      </c>
      <c r="I8" s="99" t="s">
        <v>43</v>
      </c>
      <c r="J8" s="99" t="s">
        <v>43</v>
      </c>
      <c r="K8" s="92" t="s">
        <v>150</v>
      </c>
      <c r="L8" s="4"/>
      <c r="M8" s="4"/>
    </row>
    <row r="9" spans="1:23" x14ac:dyDescent="0.2">
      <c r="A9" s="15"/>
      <c r="B9" s="219"/>
      <c r="C9" s="19" t="s">
        <v>28</v>
      </c>
      <c r="D9" s="100">
        <v>44530</v>
      </c>
      <c r="E9" s="100">
        <v>45378</v>
      </c>
      <c r="F9" s="71">
        <v>0.29489300000000002</v>
      </c>
      <c r="G9" s="71">
        <v>0.39486036000000002</v>
      </c>
      <c r="H9" s="80">
        <f t="shared" si="0"/>
        <v>-9.9967360000000005E-2</v>
      </c>
      <c r="I9" s="70" t="s">
        <v>45</v>
      </c>
      <c r="J9" s="70" t="s">
        <v>43</v>
      </c>
      <c r="K9" s="80" t="s">
        <v>148</v>
      </c>
      <c r="L9" s="4"/>
      <c r="M9" s="4"/>
    </row>
    <row r="10" spans="1:23" x14ac:dyDescent="0.2">
      <c r="A10" s="15"/>
      <c r="B10" s="219"/>
      <c r="C10" s="83" t="s">
        <v>32</v>
      </c>
      <c r="D10" s="98">
        <v>44935</v>
      </c>
      <c r="E10" s="98">
        <v>45535</v>
      </c>
      <c r="F10" s="84">
        <v>0.37534070000000003</v>
      </c>
      <c r="G10" s="84">
        <v>0.52795433999999997</v>
      </c>
      <c r="H10" s="92">
        <f t="shared" si="0"/>
        <v>-0.15261363999999994</v>
      </c>
      <c r="I10" s="99" t="s">
        <v>43</v>
      </c>
      <c r="J10" s="99" t="s">
        <v>43</v>
      </c>
      <c r="K10" s="92" t="s">
        <v>150</v>
      </c>
      <c r="L10" s="4"/>
      <c r="M10" s="4"/>
    </row>
    <row r="11" spans="1:23" x14ac:dyDescent="0.2">
      <c r="A11" s="15"/>
      <c r="B11" s="219"/>
      <c r="C11" s="19" t="s">
        <v>33</v>
      </c>
      <c r="D11" s="100">
        <v>45182</v>
      </c>
      <c r="E11" s="100">
        <v>45533</v>
      </c>
      <c r="F11" s="71">
        <v>0.2062042</v>
      </c>
      <c r="G11" s="71">
        <v>0.31084643000000001</v>
      </c>
      <c r="H11" s="80">
        <f t="shared" si="0"/>
        <v>-0.10464223</v>
      </c>
      <c r="I11" s="70" t="s">
        <v>43</v>
      </c>
      <c r="J11" s="70" t="s">
        <v>43</v>
      </c>
      <c r="K11" s="80" t="s">
        <v>150</v>
      </c>
      <c r="L11" s="4"/>
      <c r="M11" s="4"/>
    </row>
    <row r="12" spans="1:23" x14ac:dyDescent="0.2">
      <c r="A12" s="15"/>
      <c r="B12" s="241"/>
      <c r="C12" s="72" t="s">
        <v>60</v>
      </c>
      <c r="D12" s="73">
        <v>44622</v>
      </c>
      <c r="E12" s="73">
        <v>45536</v>
      </c>
      <c r="F12" s="74" t="s">
        <v>57</v>
      </c>
      <c r="G12" s="74" t="s">
        <v>57</v>
      </c>
      <c r="H12" s="81" t="s">
        <v>57</v>
      </c>
      <c r="I12" s="64" t="s">
        <v>57</v>
      </c>
      <c r="J12" s="64" t="s">
        <v>57</v>
      </c>
      <c r="K12" s="89"/>
      <c r="L12" s="4"/>
      <c r="M12" s="4"/>
    </row>
    <row r="13" spans="1:23" x14ac:dyDescent="0.2">
      <c r="A13" s="6"/>
      <c r="B13" s="242" t="s">
        <v>47</v>
      </c>
      <c r="C13" s="101" t="s">
        <v>15</v>
      </c>
      <c r="D13" s="102">
        <v>43892</v>
      </c>
      <c r="E13" s="102">
        <v>44735</v>
      </c>
      <c r="F13" s="103">
        <v>0.50216260000000001</v>
      </c>
      <c r="G13" s="103">
        <v>0.61139730000000003</v>
      </c>
      <c r="H13" s="104">
        <f t="shared" si="0"/>
        <v>-0.10923470000000002</v>
      </c>
      <c r="I13" s="105" t="s">
        <v>43</v>
      </c>
      <c r="J13" s="105" t="s">
        <v>43</v>
      </c>
      <c r="K13" s="106" t="s">
        <v>150</v>
      </c>
      <c r="L13" s="4"/>
      <c r="M13" s="4"/>
    </row>
    <row r="14" spans="1:23" x14ac:dyDescent="0.2">
      <c r="A14" s="6"/>
      <c r="B14" s="223"/>
      <c r="C14" s="19" t="s">
        <v>36</v>
      </c>
      <c r="D14" s="20">
        <v>43893</v>
      </c>
      <c r="E14" s="20">
        <v>44623</v>
      </c>
      <c r="F14" s="75">
        <v>0.98211400000000004</v>
      </c>
      <c r="G14" s="75">
        <v>0.98269030000000002</v>
      </c>
      <c r="H14" s="80">
        <f t="shared" si="0"/>
        <v>-5.7629999999997406E-4</v>
      </c>
      <c r="I14" s="49">
        <v>0</v>
      </c>
      <c r="J14" s="49" t="s">
        <v>43</v>
      </c>
      <c r="K14" s="88" t="s">
        <v>148</v>
      </c>
      <c r="L14" s="4"/>
      <c r="M14" s="4"/>
    </row>
    <row r="15" spans="1:23" x14ac:dyDescent="0.2">
      <c r="A15" s="6"/>
      <c r="B15" s="223"/>
      <c r="C15" s="19" t="s">
        <v>18</v>
      </c>
      <c r="D15" s="20">
        <v>44197</v>
      </c>
      <c r="E15" s="20">
        <v>45204</v>
      </c>
      <c r="F15" s="75">
        <v>0.36955270000000001</v>
      </c>
      <c r="G15" s="75">
        <v>0.33399299999999998</v>
      </c>
      <c r="H15" s="80">
        <f t="shared" si="0"/>
        <v>3.5559700000000027E-2</v>
      </c>
      <c r="I15" s="49" t="s">
        <v>43</v>
      </c>
      <c r="J15" s="49" t="s">
        <v>45</v>
      </c>
      <c r="K15" s="88" t="s">
        <v>149</v>
      </c>
      <c r="L15" s="4"/>
      <c r="M15" s="4"/>
      <c r="N15" s="1"/>
      <c r="O15" s="2"/>
      <c r="P15" s="2"/>
      <c r="Q15" s="2"/>
      <c r="R15" s="2"/>
      <c r="S15" s="2"/>
      <c r="T15" s="2"/>
      <c r="U15" s="2"/>
      <c r="V15" s="2"/>
      <c r="W15" s="14"/>
    </row>
    <row r="16" spans="1:23" x14ac:dyDescent="0.2">
      <c r="A16" s="6"/>
      <c r="B16" s="223"/>
      <c r="C16" s="83" t="s">
        <v>20</v>
      </c>
      <c r="D16" s="85">
        <v>44197</v>
      </c>
      <c r="E16" s="85">
        <v>45302</v>
      </c>
      <c r="F16" s="86">
        <v>0.67908690000000005</v>
      </c>
      <c r="G16" s="86">
        <v>0.73214100000000004</v>
      </c>
      <c r="H16" s="92">
        <f t="shared" si="0"/>
        <v>-5.3054099999999993E-2</v>
      </c>
      <c r="I16" s="87" t="s">
        <v>43</v>
      </c>
      <c r="J16" s="87" t="s">
        <v>43</v>
      </c>
      <c r="K16" s="93" t="s">
        <v>150</v>
      </c>
      <c r="L16" s="4"/>
      <c r="M16" s="4"/>
      <c r="N16" s="1"/>
      <c r="O16" s="2"/>
      <c r="P16" s="2"/>
      <c r="Q16" s="2"/>
      <c r="R16" s="2"/>
      <c r="S16" s="2"/>
      <c r="T16" s="2"/>
      <c r="U16" s="2"/>
      <c r="V16" s="2"/>
      <c r="W16" s="14"/>
    </row>
    <row r="17" spans="1:23" x14ac:dyDescent="0.2">
      <c r="A17" s="6"/>
      <c r="B17" s="223"/>
      <c r="C17" s="83" t="s">
        <v>24</v>
      </c>
      <c r="D17" s="85">
        <v>44573</v>
      </c>
      <c r="E17" s="85">
        <v>45422</v>
      </c>
      <c r="F17" s="86">
        <v>0.35811670000000001</v>
      </c>
      <c r="G17" s="86">
        <v>0.29995650000000001</v>
      </c>
      <c r="H17" s="92">
        <f t="shared" si="0"/>
        <v>5.8160199999999995E-2</v>
      </c>
      <c r="I17" s="87" t="s">
        <v>43</v>
      </c>
      <c r="J17" s="87" t="s">
        <v>43</v>
      </c>
      <c r="K17" s="93" t="s">
        <v>150</v>
      </c>
      <c r="L17" s="4"/>
      <c r="M17" s="4"/>
      <c r="N17" s="1"/>
      <c r="O17" s="2"/>
      <c r="P17" s="2"/>
      <c r="Q17" s="2"/>
      <c r="R17" s="2"/>
      <c r="S17" s="2"/>
      <c r="T17" s="2"/>
      <c r="U17" s="2"/>
      <c r="V17" s="2"/>
      <c r="W17" s="14"/>
    </row>
    <row r="18" spans="1:23" x14ac:dyDescent="0.2">
      <c r="A18" s="6"/>
      <c r="B18" s="223"/>
      <c r="C18" s="83" t="s">
        <v>28</v>
      </c>
      <c r="D18" s="85">
        <v>44603</v>
      </c>
      <c r="E18" s="85">
        <v>45292</v>
      </c>
      <c r="F18" s="86">
        <v>0.28737439999999997</v>
      </c>
      <c r="G18" s="86">
        <v>0.41425590000000001</v>
      </c>
      <c r="H18" s="92">
        <f t="shared" si="0"/>
        <v>-0.12688150000000004</v>
      </c>
      <c r="I18" s="87" t="s">
        <v>43</v>
      </c>
      <c r="J18" s="87" t="s">
        <v>43</v>
      </c>
      <c r="K18" s="93" t="s">
        <v>150</v>
      </c>
      <c r="L18" s="4"/>
      <c r="M18" s="4"/>
      <c r="N18" s="1"/>
      <c r="O18" s="2"/>
      <c r="P18" s="2"/>
      <c r="Q18" s="2"/>
      <c r="R18" s="2"/>
      <c r="S18" s="2"/>
      <c r="T18" s="2"/>
      <c r="U18" s="2"/>
      <c r="V18" s="2"/>
      <c r="W18" s="14"/>
    </row>
    <row r="19" spans="1:23" x14ac:dyDescent="0.2">
      <c r="A19" s="6"/>
      <c r="B19" s="223"/>
      <c r="C19" s="83" t="s">
        <v>38</v>
      </c>
      <c r="D19" s="85">
        <v>44864</v>
      </c>
      <c r="E19" s="85">
        <v>45440</v>
      </c>
      <c r="F19" s="86">
        <v>0.39325710000000003</v>
      </c>
      <c r="G19" s="86">
        <v>0.5340473</v>
      </c>
      <c r="H19" s="92">
        <f t="shared" si="0"/>
        <v>-0.14079019999999998</v>
      </c>
      <c r="I19" s="87" t="s">
        <v>43</v>
      </c>
      <c r="J19" s="87" t="s">
        <v>43</v>
      </c>
      <c r="K19" s="93" t="s">
        <v>150</v>
      </c>
      <c r="L19" s="4"/>
      <c r="M19" s="4"/>
      <c r="N19" s="1"/>
      <c r="O19" s="2"/>
      <c r="P19" s="2"/>
      <c r="Q19" s="2"/>
      <c r="R19" s="2"/>
      <c r="S19" s="2"/>
      <c r="T19" s="2"/>
      <c r="U19" s="2"/>
      <c r="V19" s="2"/>
      <c r="W19" s="14"/>
    </row>
    <row r="20" spans="1:23" x14ac:dyDescent="0.2">
      <c r="A20" s="6"/>
      <c r="B20" s="223"/>
      <c r="C20" s="19" t="s">
        <v>37</v>
      </c>
      <c r="D20" s="20">
        <v>44927</v>
      </c>
      <c r="E20" s="20">
        <v>45399</v>
      </c>
      <c r="F20" s="75">
        <v>0.20796719999999999</v>
      </c>
      <c r="G20" s="75">
        <v>0.34063749999999998</v>
      </c>
      <c r="H20" s="80">
        <f t="shared" si="0"/>
        <v>-0.13267029999999999</v>
      </c>
      <c r="I20" s="49" t="s">
        <v>43</v>
      </c>
      <c r="J20" s="49" t="s">
        <v>43</v>
      </c>
      <c r="K20" s="88" t="s">
        <v>150</v>
      </c>
      <c r="L20" s="4"/>
      <c r="M20" s="4"/>
      <c r="N20" s="1"/>
      <c r="O20" s="2"/>
      <c r="P20" s="2"/>
      <c r="Q20" s="2"/>
      <c r="R20" s="2"/>
      <c r="S20" s="2"/>
      <c r="T20" s="2"/>
      <c r="U20" s="2"/>
      <c r="V20" s="2"/>
      <c r="W20" s="14"/>
    </row>
    <row r="21" spans="1:23" x14ac:dyDescent="0.2">
      <c r="A21" s="6"/>
      <c r="B21" s="223"/>
      <c r="C21" s="83" t="s">
        <v>32</v>
      </c>
      <c r="D21" s="85">
        <v>45187</v>
      </c>
      <c r="E21" s="85">
        <v>45529</v>
      </c>
      <c r="F21" s="86">
        <v>0.73858769999999996</v>
      </c>
      <c r="G21" s="86">
        <v>0.79285660000000002</v>
      </c>
      <c r="H21" s="92">
        <f t="shared" si="0"/>
        <v>-5.4268900000000064E-2</v>
      </c>
      <c r="I21" s="87" t="s">
        <v>43</v>
      </c>
      <c r="J21" s="87" t="s">
        <v>43</v>
      </c>
      <c r="K21" s="93" t="s">
        <v>150</v>
      </c>
      <c r="L21" s="4"/>
      <c r="M21" s="4"/>
      <c r="N21" s="1"/>
      <c r="O21" s="2"/>
      <c r="P21" s="2"/>
      <c r="Q21" s="2"/>
      <c r="R21" s="2"/>
      <c r="S21" s="2"/>
      <c r="T21" s="2"/>
      <c r="U21" s="2"/>
      <c r="V21" s="2"/>
      <c r="W21" s="14"/>
    </row>
    <row r="22" spans="1:23" x14ac:dyDescent="0.2">
      <c r="A22" s="6"/>
      <c r="B22" s="249"/>
      <c r="C22" s="72" t="s">
        <v>61</v>
      </c>
      <c r="D22" s="73">
        <v>44624</v>
      </c>
      <c r="E22" s="73">
        <v>45516</v>
      </c>
      <c r="F22" s="74" t="s">
        <v>57</v>
      </c>
      <c r="G22" s="74" t="s">
        <v>57</v>
      </c>
      <c r="H22" s="81" t="s">
        <v>57</v>
      </c>
      <c r="I22" s="64" t="s">
        <v>57</v>
      </c>
      <c r="J22" s="64" t="s">
        <v>57</v>
      </c>
      <c r="K22" s="89" t="s">
        <v>57</v>
      </c>
      <c r="L22" s="4"/>
      <c r="M22" s="4"/>
      <c r="N22" s="1"/>
      <c r="O22" s="2"/>
      <c r="P22" s="2"/>
      <c r="Q22" s="2"/>
      <c r="R22" s="2"/>
      <c r="S22" s="2"/>
      <c r="T22" s="2"/>
      <c r="U22" s="2"/>
      <c r="V22" s="2"/>
      <c r="W22" s="14"/>
    </row>
    <row r="23" spans="1:23" x14ac:dyDescent="0.2">
      <c r="A23" s="6"/>
      <c r="B23" s="219" t="s">
        <v>48</v>
      </c>
      <c r="C23" s="19" t="s">
        <v>151</v>
      </c>
      <c r="D23" s="20">
        <v>44249</v>
      </c>
      <c r="E23" s="20">
        <v>44460</v>
      </c>
      <c r="F23" s="75">
        <v>0.27935670000000001</v>
      </c>
      <c r="G23" s="75">
        <v>0.35219070000000002</v>
      </c>
      <c r="H23" s="80">
        <f t="shared" si="0"/>
        <v>-7.283400000000001E-2</v>
      </c>
      <c r="I23" s="49" t="s">
        <v>43</v>
      </c>
      <c r="J23" s="49" t="s">
        <v>43</v>
      </c>
      <c r="K23" s="88" t="s">
        <v>150</v>
      </c>
      <c r="L23" s="4"/>
      <c r="M23" s="4"/>
      <c r="N23" s="1"/>
      <c r="O23" s="2"/>
      <c r="P23" s="2"/>
      <c r="Q23" s="2"/>
      <c r="R23" s="2"/>
      <c r="S23" s="2"/>
      <c r="T23" s="2"/>
      <c r="U23" s="2"/>
      <c r="V23" s="2"/>
      <c r="W23" s="14"/>
    </row>
    <row r="24" spans="1:23" x14ac:dyDescent="0.2">
      <c r="A24" s="6"/>
      <c r="B24" s="219"/>
      <c r="C24" s="83" t="s">
        <v>9</v>
      </c>
      <c r="D24" s="85">
        <v>44308</v>
      </c>
      <c r="E24" s="85">
        <v>45118</v>
      </c>
      <c r="F24" s="86">
        <v>0.30744840000000001</v>
      </c>
      <c r="G24" s="86">
        <v>0.36156129999999997</v>
      </c>
      <c r="H24" s="92">
        <f t="shared" si="0"/>
        <v>-5.4112899999999964E-2</v>
      </c>
      <c r="I24" s="87" t="s">
        <v>43</v>
      </c>
      <c r="J24" s="87" t="s">
        <v>43</v>
      </c>
      <c r="K24" s="93" t="s">
        <v>150</v>
      </c>
      <c r="L24" s="4"/>
      <c r="M24" s="4"/>
      <c r="N24" s="1"/>
      <c r="O24" s="2"/>
      <c r="P24" s="2"/>
      <c r="Q24" s="2"/>
      <c r="R24" s="2"/>
      <c r="S24" s="2"/>
      <c r="T24" s="2"/>
      <c r="U24" s="2"/>
      <c r="V24" s="2"/>
      <c r="W24" s="14"/>
    </row>
    <row r="25" spans="1:23" x14ac:dyDescent="0.2">
      <c r="A25" s="6"/>
      <c r="B25" s="219"/>
      <c r="C25" s="83" t="s">
        <v>49</v>
      </c>
      <c r="D25" s="85">
        <v>44331</v>
      </c>
      <c r="E25" s="85">
        <v>44602</v>
      </c>
      <c r="F25" s="86">
        <v>0.52906450000000005</v>
      </c>
      <c r="G25" s="86">
        <v>0.59014350000000004</v>
      </c>
      <c r="H25" s="92">
        <f t="shared" si="0"/>
        <v>-6.1078999999999994E-2</v>
      </c>
      <c r="I25" s="87" t="s">
        <v>43</v>
      </c>
      <c r="J25" s="87" t="s">
        <v>43</v>
      </c>
      <c r="K25" s="93" t="s">
        <v>150</v>
      </c>
      <c r="L25" s="4"/>
      <c r="M25" s="4"/>
    </row>
    <row r="26" spans="1:23" x14ac:dyDescent="0.2">
      <c r="A26" s="6"/>
      <c r="B26" s="219"/>
      <c r="C26" s="19" t="s">
        <v>152</v>
      </c>
      <c r="D26" s="20">
        <v>44416</v>
      </c>
      <c r="E26" s="20">
        <v>44624</v>
      </c>
      <c r="F26" s="75">
        <v>0.35916619999999999</v>
      </c>
      <c r="G26" s="75">
        <v>0.44411020000000001</v>
      </c>
      <c r="H26" s="80">
        <f t="shared" si="0"/>
        <v>-8.4944000000000019E-2</v>
      </c>
      <c r="I26" s="49" t="s">
        <v>45</v>
      </c>
      <c r="J26" s="49" t="s">
        <v>43</v>
      </c>
      <c r="K26" s="88" t="s">
        <v>148</v>
      </c>
      <c r="L26" s="4"/>
      <c r="M26" s="4"/>
    </row>
    <row r="27" spans="1:23" x14ac:dyDescent="0.2">
      <c r="A27" s="6"/>
      <c r="B27" s="219"/>
      <c r="C27" s="19" t="s">
        <v>22</v>
      </c>
      <c r="D27" s="20">
        <v>44559</v>
      </c>
      <c r="E27" s="20">
        <v>45000</v>
      </c>
      <c r="F27" s="75">
        <v>0.26657540000000002</v>
      </c>
      <c r="G27" s="75">
        <v>0.330262</v>
      </c>
      <c r="H27" s="80">
        <f t="shared" si="0"/>
        <v>-6.3686599999999982E-2</v>
      </c>
      <c r="I27" s="49" t="s">
        <v>43</v>
      </c>
      <c r="J27" s="49" t="s">
        <v>43</v>
      </c>
      <c r="K27" s="88" t="s">
        <v>150</v>
      </c>
      <c r="L27" s="4"/>
      <c r="M27" s="4"/>
    </row>
    <row r="28" spans="1:23" x14ac:dyDescent="0.2">
      <c r="A28" s="6"/>
      <c r="B28" s="219"/>
      <c r="C28" s="19" t="s">
        <v>25</v>
      </c>
      <c r="D28" s="20">
        <v>44692</v>
      </c>
      <c r="E28" s="20">
        <v>45313</v>
      </c>
      <c r="F28" s="75">
        <v>0.27898109999999998</v>
      </c>
      <c r="G28" s="75">
        <v>0.35795769999999999</v>
      </c>
      <c r="H28" s="80">
        <f t="shared" si="0"/>
        <v>-7.8976600000000008E-2</v>
      </c>
      <c r="I28" s="49" t="s">
        <v>43</v>
      </c>
      <c r="J28" s="49" t="s">
        <v>43</v>
      </c>
      <c r="K28" s="88" t="s">
        <v>150</v>
      </c>
      <c r="L28" s="4"/>
      <c r="M28" s="4"/>
    </row>
    <row r="29" spans="1:23" x14ac:dyDescent="0.2">
      <c r="A29" s="6"/>
      <c r="B29" s="219"/>
      <c r="C29" s="19" t="s">
        <v>30</v>
      </c>
      <c r="D29" s="20">
        <v>45111</v>
      </c>
      <c r="E29" s="20">
        <v>45397</v>
      </c>
      <c r="F29" s="75">
        <v>0.4992161</v>
      </c>
      <c r="G29" s="75">
        <v>0.594059</v>
      </c>
      <c r="H29" s="80">
        <f t="shared" si="0"/>
        <v>-9.4842900000000008E-2</v>
      </c>
      <c r="I29" s="49" t="s">
        <v>45</v>
      </c>
      <c r="J29" s="49" t="s">
        <v>43</v>
      </c>
      <c r="K29" s="88" t="s">
        <v>148</v>
      </c>
      <c r="L29" s="4"/>
      <c r="M29" s="4"/>
    </row>
    <row r="30" spans="1:23" x14ac:dyDescent="0.2">
      <c r="A30" s="6"/>
      <c r="B30" s="219"/>
      <c r="C30" s="83" t="s">
        <v>32</v>
      </c>
      <c r="D30" s="85">
        <v>45223</v>
      </c>
      <c r="E30" s="85">
        <v>45410</v>
      </c>
      <c r="F30" s="86">
        <v>0.45168419999999998</v>
      </c>
      <c r="G30" s="86">
        <v>0.53417760000000003</v>
      </c>
      <c r="H30" s="92">
        <f t="shared" si="0"/>
        <v>-8.249340000000005E-2</v>
      </c>
      <c r="I30" s="87" t="s">
        <v>43</v>
      </c>
      <c r="J30" s="87" t="s">
        <v>43</v>
      </c>
      <c r="K30" s="93" t="s">
        <v>150</v>
      </c>
      <c r="L30" s="4"/>
      <c r="M30" s="4"/>
    </row>
    <row r="31" spans="1:23" ht="17" thickBot="1" x14ac:dyDescent="0.25">
      <c r="A31" s="6"/>
      <c r="B31" s="250"/>
      <c r="C31" s="76" t="s">
        <v>62</v>
      </c>
      <c r="D31" s="77">
        <v>44236</v>
      </c>
      <c r="E31" s="77">
        <v>45219</v>
      </c>
      <c r="F31" s="79" t="s">
        <v>57</v>
      </c>
      <c r="G31" s="79" t="s">
        <v>57</v>
      </c>
      <c r="H31" s="82" t="s">
        <v>57</v>
      </c>
      <c r="I31" s="78" t="s">
        <v>57</v>
      </c>
      <c r="J31" s="78" t="s">
        <v>57</v>
      </c>
      <c r="K31" s="90" t="s">
        <v>57</v>
      </c>
      <c r="L31" s="4"/>
      <c r="M31" s="4"/>
    </row>
    <row r="32" spans="1:23" x14ac:dyDescent="0.2">
      <c r="A32" s="6"/>
      <c r="B32" s="6"/>
      <c r="C32" s="19"/>
      <c r="D32" s="36"/>
      <c r="E32" s="36"/>
      <c r="F32" s="45"/>
      <c r="G32" s="45"/>
      <c r="H32" s="40"/>
      <c r="I32" s="40"/>
      <c r="J32" s="40"/>
      <c r="K32" s="40"/>
      <c r="L32" s="4"/>
      <c r="M32" s="4"/>
    </row>
    <row r="33" spans="1:23" x14ac:dyDescent="0.2">
      <c r="A33" s="6"/>
      <c r="B33" s="6"/>
      <c r="C33" s="19"/>
      <c r="D33" s="36"/>
      <c r="E33" s="36"/>
      <c r="F33" s="45"/>
      <c r="G33" s="45"/>
      <c r="H33" s="40"/>
      <c r="I33" s="40"/>
      <c r="J33" s="40"/>
      <c r="K33" s="40"/>
      <c r="L33" s="4"/>
      <c r="M33" s="4"/>
    </row>
    <row r="34" spans="1:23" ht="17" thickBot="1" x14ac:dyDescent="0.25">
      <c r="A34" s="6"/>
      <c r="B34" s="6"/>
      <c r="C34" s="19"/>
      <c r="D34" s="36"/>
      <c r="E34" s="36"/>
      <c r="F34" s="45"/>
      <c r="G34" s="45"/>
      <c r="H34" s="40"/>
      <c r="I34" s="40"/>
      <c r="J34" s="40"/>
      <c r="K34" s="40"/>
      <c r="L34" s="4"/>
      <c r="M34" s="4"/>
    </row>
    <row r="35" spans="1:23" x14ac:dyDescent="0.2">
      <c r="A35" s="6"/>
      <c r="B35" s="28" t="s">
        <v>39</v>
      </c>
      <c r="C35" s="29" t="s">
        <v>40</v>
      </c>
      <c r="D35" s="35" t="s">
        <v>46</v>
      </c>
      <c r="E35" s="35" t="s">
        <v>56</v>
      </c>
      <c r="F35" s="44" t="s">
        <v>54</v>
      </c>
      <c r="G35" s="44" t="s">
        <v>53</v>
      </c>
      <c r="H35" s="28" t="s">
        <v>55</v>
      </c>
      <c r="I35" s="30" t="s">
        <v>51</v>
      </c>
      <c r="J35" s="30" t="s">
        <v>52</v>
      </c>
      <c r="K35" s="30" t="s">
        <v>50</v>
      </c>
      <c r="L35" s="4"/>
      <c r="M35" s="4"/>
    </row>
    <row r="36" spans="1:23" x14ac:dyDescent="0.2">
      <c r="A36" s="4"/>
      <c r="B36" s="233" t="s">
        <v>63</v>
      </c>
      <c r="C36" s="17" t="s">
        <v>15</v>
      </c>
      <c r="D36" s="57">
        <v>43899</v>
      </c>
      <c r="E36" s="57">
        <v>44768</v>
      </c>
      <c r="F36" s="50">
        <v>0.4868942</v>
      </c>
      <c r="G36" s="50">
        <v>0.52236821</v>
      </c>
      <c r="H36" s="238">
        <v>9.5000000000000001E-2</v>
      </c>
      <c r="I36" s="49" t="s">
        <v>43</v>
      </c>
      <c r="J36" s="49" t="s">
        <v>43</v>
      </c>
      <c r="K36" s="244">
        <v>0.65100000000000002</v>
      </c>
      <c r="L36" s="19"/>
      <c r="M36" s="4"/>
    </row>
    <row r="37" spans="1:23" x14ac:dyDescent="0.2">
      <c r="A37" s="4"/>
      <c r="B37" s="219"/>
      <c r="C37" s="17" t="s">
        <v>36</v>
      </c>
      <c r="D37" s="57">
        <v>43905</v>
      </c>
      <c r="E37" s="57">
        <v>44741</v>
      </c>
      <c r="F37" s="50">
        <v>0.96848420000000002</v>
      </c>
      <c r="G37" s="50">
        <v>0.93406387000000002</v>
      </c>
      <c r="H37" s="239"/>
      <c r="I37" s="49" t="s">
        <v>43</v>
      </c>
      <c r="J37" s="49" t="s">
        <v>43</v>
      </c>
      <c r="K37" s="245"/>
      <c r="L37" s="19"/>
      <c r="M37" s="3"/>
      <c r="N37" s="2"/>
      <c r="O37" s="2"/>
      <c r="P37" s="2"/>
      <c r="Q37" s="2"/>
      <c r="R37" s="2"/>
      <c r="S37" s="2"/>
      <c r="T37" s="2"/>
      <c r="U37" s="2"/>
      <c r="V37" s="14"/>
      <c r="W37" s="14"/>
    </row>
    <row r="38" spans="1:23" x14ac:dyDescent="0.2">
      <c r="A38" s="4"/>
      <c r="B38" s="219"/>
      <c r="C38" s="26" t="s">
        <v>88</v>
      </c>
      <c r="D38" s="58">
        <v>44119</v>
      </c>
      <c r="E38" s="58">
        <v>44594</v>
      </c>
      <c r="F38" s="53">
        <v>0.33721390000000001</v>
      </c>
      <c r="G38" s="53">
        <v>8.8746119999999998E-2</v>
      </c>
      <c r="H38" s="239"/>
      <c r="I38" s="27" t="s">
        <v>43</v>
      </c>
      <c r="J38" s="27" t="s">
        <v>45</v>
      </c>
      <c r="K38" s="245"/>
      <c r="L38" s="52"/>
      <c r="M38" s="3"/>
      <c r="N38" s="2"/>
      <c r="O38" s="2"/>
      <c r="P38" s="2"/>
      <c r="Q38" s="2"/>
      <c r="R38" s="2"/>
      <c r="S38" s="2"/>
      <c r="T38" s="2"/>
      <c r="U38" s="2"/>
      <c r="V38" s="14"/>
      <c r="W38" s="14"/>
    </row>
    <row r="39" spans="1:23" x14ac:dyDescent="0.2">
      <c r="A39" s="4"/>
      <c r="B39" s="219"/>
      <c r="C39" s="17" t="s">
        <v>18</v>
      </c>
      <c r="D39" s="59">
        <v>44316</v>
      </c>
      <c r="E39" s="59">
        <v>45069</v>
      </c>
      <c r="F39" s="51">
        <v>0.42119659999999998</v>
      </c>
      <c r="G39" s="51">
        <v>0.43499312000000001</v>
      </c>
      <c r="H39" s="239"/>
      <c r="I39" s="5" t="s">
        <v>43</v>
      </c>
      <c r="J39" s="5" t="s">
        <v>43</v>
      </c>
      <c r="K39" s="245"/>
      <c r="L39" s="52"/>
      <c r="M39" s="3"/>
      <c r="N39" s="2"/>
      <c r="O39" s="2"/>
      <c r="P39" s="2"/>
      <c r="Q39" s="2"/>
      <c r="R39" s="2"/>
      <c r="S39" s="2"/>
      <c r="T39" s="2"/>
      <c r="U39" s="2"/>
      <c r="V39" s="14"/>
      <c r="W39" s="14"/>
    </row>
    <row r="40" spans="1:23" x14ac:dyDescent="0.2">
      <c r="A40" s="4"/>
      <c r="B40" s="219"/>
      <c r="C40" s="17" t="s">
        <v>20</v>
      </c>
      <c r="D40" s="59">
        <v>44316</v>
      </c>
      <c r="E40" s="59">
        <v>45314</v>
      </c>
      <c r="F40" s="51">
        <v>0.68655699999999997</v>
      </c>
      <c r="G40" s="51">
        <v>0.71739401000000003</v>
      </c>
      <c r="H40" s="239"/>
      <c r="I40" s="5" t="s">
        <v>43</v>
      </c>
      <c r="J40" s="5" t="s">
        <v>43</v>
      </c>
      <c r="K40" s="245"/>
      <c r="L40" s="52"/>
      <c r="M40" s="3"/>
      <c r="N40" s="2"/>
      <c r="O40" s="2"/>
      <c r="P40" s="2"/>
      <c r="Q40" s="2"/>
      <c r="R40" s="2"/>
      <c r="S40" s="2"/>
      <c r="T40" s="2"/>
      <c r="U40" s="2"/>
      <c r="V40" s="14"/>
      <c r="W40" s="14"/>
    </row>
    <row r="41" spans="1:23" x14ac:dyDescent="0.2">
      <c r="A41" s="4"/>
      <c r="B41" s="219"/>
      <c r="C41" s="26" t="s">
        <v>89</v>
      </c>
      <c r="D41" s="58">
        <v>44797</v>
      </c>
      <c r="E41" s="58">
        <v>45117</v>
      </c>
      <c r="F41" s="53">
        <v>0.19628390000000001</v>
      </c>
      <c r="G41" s="53">
        <v>0.30639165000000002</v>
      </c>
      <c r="H41" s="239"/>
      <c r="I41" s="27" t="s">
        <v>45</v>
      </c>
      <c r="J41" s="27" t="s">
        <v>43</v>
      </c>
      <c r="K41" s="245"/>
      <c r="L41" s="52"/>
      <c r="M41" s="3"/>
      <c r="N41" s="2"/>
      <c r="O41" s="2"/>
      <c r="P41" s="2"/>
      <c r="Q41" s="2"/>
      <c r="R41" s="2"/>
      <c r="S41" s="2"/>
      <c r="T41" s="2"/>
      <c r="U41" s="2"/>
      <c r="V41" s="14"/>
      <c r="W41" s="14"/>
    </row>
    <row r="42" spans="1:23" x14ac:dyDescent="0.2">
      <c r="A42" s="4"/>
      <c r="B42" s="219"/>
      <c r="C42" s="17" t="s">
        <v>38</v>
      </c>
      <c r="D42" s="59">
        <v>44869</v>
      </c>
      <c r="E42" s="59">
        <v>45266</v>
      </c>
      <c r="F42" s="51">
        <v>0.39284010000000003</v>
      </c>
      <c r="G42" s="51">
        <v>0.48824984999999999</v>
      </c>
      <c r="H42" s="239"/>
      <c r="I42" s="5" t="s">
        <v>43</v>
      </c>
      <c r="J42" s="5" t="s">
        <v>43</v>
      </c>
      <c r="K42" s="245"/>
      <c r="L42" s="52"/>
      <c r="M42" s="3"/>
      <c r="N42" s="2"/>
      <c r="O42" s="2"/>
      <c r="P42" s="2"/>
      <c r="Q42" s="2"/>
      <c r="R42" s="2"/>
      <c r="S42" s="2"/>
      <c r="T42" s="2"/>
      <c r="U42" s="2"/>
      <c r="V42" s="14"/>
      <c r="W42" s="14"/>
    </row>
    <row r="43" spans="1:23" x14ac:dyDescent="0.2">
      <c r="A43" s="4"/>
      <c r="B43" s="219"/>
      <c r="C43" s="17" t="s">
        <v>29</v>
      </c>
      <c r="D43" s="59">
        <v>45015</v>
      </c>
      <c r="E43" s="59">
        <v>45306</v>
      </c>
      <c r="F43" s="51">
        <v>0.40977409999999997</v>
      </c>
      <c r="G43" s="51">
        <v>0.50327325999999994</v>
      </c>
      <c r="H43" s="239"/>
      <c r="I43" s="5" t="s">
        <v>43</v>
      </c>
      <c r="J43" s="5" t="s">
        <v>43</v>
      </c>
      <c r="K43" s="245"/>
      <c r="L43" s="52"/>
      <c r="M43" s="3"/>
      <c r="N43" s="2"/>
      <c r="O43" s="2"/>
      <c r="P43" s="2"/>
      <c r="Q43" s="2"/>
      <c r="R43" s="2"/>
      <c r="S43" s="2"/>
      <c r="T43" s="2"/>
      <c r="U43" s="2"/>
      <c r="V43" s="14"/>
      <c r="W43" s="14"/>
    </row>
    <row r="44" spans="1:23" x14ac:dyDescent="0.2">
      <c r="A44" s="4"/>
      <c r="B44" s="241"/>
      <c r="C44" s="24" t="s">
        <v>122</v>
      </c>
      <c r="D44" s="60">
        <v>43908</v>
      </c>
      <c r="E44" s="60">
        <v>45308</v>
      </c>
      <c r="F44" s="25" t="s">
        <v>57</v>
      </c>
      <c r="G44" s="25" t="s">
        <v>57</v>
      </c>
      <c r="H44" s="240"/>
      <c r="I44" s="23" t="s">
        <v>57</v>
      </c>
      <c r="J44" s="23" t="s">
        <v>57</v>
      </c>
      <c r="K44" s="246"/>
      <c r="L44" s="52"/>
      <c r="M44" s="3"/>
      <c r="N44" s="2"/>
      <c r="O44" s="2"/>
      <c r="P44" s="2"/>
      <c r="Q44" s="2"/>
      <c r="R44" s="2"/>
      <c r="S44" s="2"/>
      <c r="T44" s="2"/>
      <c r="U44" s="2"/>
      <c r="V44" s="14"/>
      <c r="W44" s="14"/>
    </row>
    <row r="45" spans="1:23" x14ac:dyDescent="0.2">
      <c r="A45" s="3"/>
      <c r="B45" s="233" t="s">
        <v>64</v>
      </c>
      <c r="C45" s="17" t="s">
        <v>65</v>
      </c>
      <c r="D45" s="59">
        <v>43966</v>
      </c>
      <c r="E45" s="59">
        <v>44406</v>
      </c>
      <c r="F45" s="51">
        <v>0.7966567</v>
      </c>
      <c r="G45" s="51">
        <v>0.79560580000000003</v>
      </c>
      <c r="H45" s="234">
        <v>8.5000000000000006E-2</v>
      </c>
      <c r="I45" s="5" t="s">
        <v>43</v>
      </c>
      <c r="J45" s="5" t="s">
        <v>43</v>
      </c>
      <c r="K45" s="244">
        <v>0.625</v>
      </c>
      <c r="L45" s="52"/>
      <c r="M45" s="4"/>
    </row>
    <row r="46" spans="1:23" x14ac:dyDescent="0.2">
      <c r="A46" s="3"/>
      <c r="B46" s="219"/>
      <c r="C46" s="26" t="s">
        <v>59</v>
      </c>
      <c r="D46" s="58">
        <v>44058</v>
      </c>
      <c r="E46" s="58">
        <v>45296</v>
      </c>
      <c r="F46" s="53">
        <v>0.2392619</v>
      </c>
      <c r="G46" s="53">
        <v>0.31667519999999999</v>
      </c>
      <c r="H46" s="235"/>
      <c r="I46" s="27" t="s">
        <v>43</v>
      </c>
      <c r="J46" s="27" t="s">
        <v>43</v>
      </c>
      <c r="K46" s="245"/>
      <c r="L46" s="52"/>
      <c r="M46" s="4"/>
    </row>
    <row r="47" spans="1:23" x14ac:dyDescent="0.2">
      <c r="A47" s="3"/>
      <c r="B47" s="219"/>
      <c r="C47" s="17" t="s">
        <v>36</v>
      </c>
      <c r="D47" s="59">
        <v>44106</v>
      </c>
      <c r="E47" s="59">
        <v>44470</v>
      </c>
      <c r="F47" s="51">
        <v>0.96090469999999994</v>
      </c>
      <c r="G47" s="51">
        <v>0.92662719999999998</v>
      </c>
      <c r="H47" s="235"/>
      <c r="I47" s="5" t="s">
        <v>43</v>
      </c>
      <c r="J47" s="5" t="s">
        <v>43</v>
      </c>
      <c r="K47" s="245"/>
      <c r="L47" s="19"/>
      <c r="M47" s="4"/>
    </row>
    <row r="48" spans="1:23" x14ac:dyDescent="0.2">
      <c r="A48" s="3"/>
      <c r="B48" s="219"/>
      <c r="C48" s="26" t="s">
        <v>90</v>
      </c>
      <c r="D48" s="58">
        <v>44165</v>
      </c>
      <c r="E48" s="58">
        <v>44453</v>
      </c>
      <c r="F48" s="53">
        <v>0.2880007</v>
      </c>
      <c r="G48" s="53">
        <v>0.41484359999999998</v>
      </c>
      <c r="H48" s="235"/>
      <c r="I48" s="27" t="s">
        <v>43</v>
      </c>
      <c r="J48" s="27" t="s">
        <v>43</v>
      </c>
      <c r="K48" s="245"/>
      <c r="L48" s="19"/>
      <c r="M48" s="4"/>
    </row>
    <row r="49" spans="1:13" x14ac:dyDescent="0.2">
      <c r="A49" s="3"/>
      <c r="B49" s="219"/>
      <c r="C49" s="17" t="s">
        <v>58</v>
      </c>
      <c r="D49" s="59">
        <v>44202</v>
      </c>
      <c r="E49" s="59">
        <v>44826</v>
      </c>
      <c r="F49" s="51">
        <v>0.3734459</v>
      </c>
      <c r="G49" s="51">
        <v>0.1663125</v>
      </c>
      <c r="H49" s="235"/>
      <c r="I49" s="5" t="s">
        <v>43</v>
      </c>
      <c r="J49" s="5" t="s">
        <v>43</v>
      </c>
      <c r="K49" s="245"/>
      <c r="L49" s="19"/>
      <c r="M49" s="4"/>
    </row>
    <row r="50" spans="1:13" x14ac:dyDescent="0.2">
      <c r="A50" s="3"/>
      <c r="B50" s="219"/>
      <c r="C50" s="26" t="s">
        <v>91</v>
      </c>
      <c r="D50" s="58">
        <v>44202</v>
      </c>
      <c r="E50" s="58">
        <v>45029</v>
      </c>
      <c r="F50" s="53">
        <v>0.65910880000000005</v>
      </c>
      <c r="G50" s="53">
        <v>0.7037175</v>
      </c>
      <c r="H50" s="235"/>
      <c r="I50" s="27">
        <v>0</v>
      </c>
      <c r="J50" s="27" t="s">
        <v>43</v>
      </c>
      <c r="K50" s="245"/>
      <c r="L50" s="19"/>
      <c r="M50" s="4"/>
    </row>
    <row r="51" spans="1:13" x14ac:dyDescent="0.2">
      <c r="A51" s="3"/>
      <c r="B51" s="219"/>
      <c r="C51" s="17" t="s">
        <v>66</v>
      </c>
      <c r="D51" s="59">
        <v>44224</v>
      </c>
      <c r="E51" s="59">
        <v>45236</v>
      </c>
      <c r="F51" s="51">
        <v>0.93805439999999995</v>
      </c>
      <c r="G51" s="51">
        <v>0.90843569999999996</v>
      </c>
      <c r="H51" s="235"/>
      <c r="I51" s="5" t="s">
        <v>43</v>
      </c>
      <c r="J51" s="5" t="s">
        <v>43</v>
      </c>
      <c r="K51" s="245"/>
      <c r="L51" s="19"/>
      <c r="M51" s="4"/>
    </row>
    <row r="52" spans="1:13" x14ac:dyDescent="0.2">
      <c r="A52" s="3"/>
      <c r="B52" s="219"/>
      <c r="C52" s="26" t="s">
        <v>92</v>
      </c>
      <c r="D52" s="58">
        <v>45162</v>
      </c>
      <c r="E52" s="58">
        <v>45521</v>
      </c>
      <c r="F52" s="53">
        <v>0.34479989999999999</v>
      </c>
      <c r="G52" s="53">
        <v>0.46589469999999999</v>
      </c>
      <c r="H52" s="235"/>
      <c r="I52" s="27" t="s">
        <v>44</v>
      </c>
      <c r="J52" s="27" t="s">
        <v>43</v>
      </c>
      <c r="K52" s="245"/>
      <c r="L52" s="19"/>
      <c r="M52" s="4"/>
    </row>
    <row r="53" spans="1:13" x14ac:dyDescent="0.2">
      <c r="A53" s="4"/>
      <c r="B53" s="241"/>
      <c r="C53" s="24" t="s">
        <v>121</v>
      </c>
      <c r="D53" s="60">
        <v>43913</v>
      </c>
      <c r="E53" s="60">
        <v>45521</v>
      </c>
      <c r="F53" s="25" t="s">
        <v>57</v>
      </c>
      <c r="G53" s="25" t="s">
        <v>57</v>
      </c>
      <c r="H53" s="236"/>
      <c r="I53" s="23" t="s">
        <v>57</v>
      </c>
      <c r="J53" s="23" t="s">
        <v>57</v>
      </c>
      <c r="K53" s="246"/>
      <c r="L53" s="19"/>
      <c r="M53" s="4"/>
    </row>
    <row r="54" spans="1:13" x14ac:dyDescent="0.2">
      <c r="A54" s="3"/>
      <c r="B54" s="233" t="s">
        <v>67</v>
      </c>
      <c r="C54" s="17" t="s">
        <v>36</v>
      </c>
      <c r="D54" s="59">
        <v>43908</v>
      </c>
      <c r="E54" s="59">
        <v>44515</v>
      </c>
      <c r="F54" s="51">
        <v>0.57678169999999995</v>
      </c>
      <c r="G54" s="51">
        <v>0.58601230000000004</v>
      </c>
      <c r="H54" s="234">
        <v>0.114</v>
      </c>
      <c r="I54" s="5" t="s">
        <v>43</v>
      </c>
      <c r="J54" s="5" t="s">
        <v>43</v>
      </c>
      <c r="K54" s="244">
        <v>0.61</v>
      </c>
      <c r="L54" s="19"/>
      <c r="M54" s="4"/>
    </row>
    <row r="55" spans="1:13" x14ac:dyDescent="0.2">
      <c r="A55" s="3"/>
      <c r="B55" s="219"/>
      <c r="C55" s="17" t="s">
        <v>11</v>
      </c>
      <c r="D55" s="59">
        <v>44153</v>
      </c>
      <c r="E55" s="59">
        <v>44679</v>
      </c>
      <c r="F55" s="51">
        <v>0.56671970000000005</v>
      </c>
      <c r="G55" s="51">
        <v>0.62150150000000004</v>
      </c>
      <c r="H55" s="235"/>
      <c r="I55" s="5" t="s">
        <v>43</v>
      </c>
      <c r="J55" s="5" t="s">
        <v>43</v>
      </c>
      <c r="K55" s="245"/>
      <c r="L55" s="19"/>
      <c r="M55" s="4"/>
    </row>
    <row r="56" spans="1:13" x14ac:dyDescent="0.2">
      <c r="A56" s="3"/>
      <c r="B56" s="219"/>
      <c r="C56" s="26" t="s">
        <v>93</v>
      </c>
      <c r="D56" s="58">
        <v>44169</v>
      </c>
      <c r="E56" s="58">
        <v>44457</v>
      </c>
      <c r="F56" s="53">
        <v>0.37376799999999999</v>
      </c>
      <c r="G56" s="53">
        <v>0.24962419999999999</v>
      </c>
      <c r="H56" s="235"/>
      <c r="I56" s="27" t="s">
        <v>43</v>
      </c>
      <c r="J56" s="27" t="s">
        <v>43</v>
      </c>
      <c r="K56" s="245"/>
      <c r="L56" s="19"/>
      <c r="M56" s="4"/>
    </row>
    <row r="57" spans="1:13" x14ac:dyDescent="0.2">
      <c r="A57" s="3"/>
      <c r="B57" s="219"/>
      <c r="C57" s="17" t="s">
        <v>68</v>
      </c>
      <c r="D57" s="59">
        <v>44299</v>
      </c>
      <c r="E57" s="59">
        <v>44679</v>
      </c>
      <c r="F57" s="51">
        <v>0.29801850000000002</v>
      </c>
      <c r="G57" s="51">
        <v>0.31205240000000001</v>
      </c>
      <c r="H57" s="235"/>
      <c r="I57" s="5" t="s">
        <v>43</v>
      </c>
      <c r="J57" s="5" t="s">
        <v>43</v>
      </c>
      <c r="K57" s="245"/>
      <c r="L57" s="19"/>
      <c r="M57" s="4"/>
    </row>
    <row r="58" spans="1:13" x14ac:dyDescent="0.2">
      <c r="A58" s="3"/>
      <c r="B58" s="219"/>
      <c r="C58" s="17" t="s">
        <v>18</v>
      </c>
      <c r="D58" s="59">
        <v>44498</v>
      </c>
      <c r="E58" s="59">
        <v>45433</v>
      </c>
      <c r="F58" s="51">
        <v>0.48917050000000001</v>
      </c>
      <c r="G58" s="51">
        <v>0.5312559</v>
      </c>
      <c r="H58" s="235"/>
      <c r="I58" s="5" t="s">
        <v>43</v>
      </c>
      <c r="J58" s="5" t="s">
        <v>43</v>
      </c>
      <c r="K58" s="245"/>
      <c r="L58" s="19"/>
      <c r="M58" s="4"/>
    </row>
    <row r="59" spans="1:13" x14ac:dyDescent="0.2">
      <c r="A59" s="3"/>
      <c r="B59" s="219"/>
      <c r="C59" s="17" t="s">
        <v>20</v>
      </c>
      <c r="D59" s="59">
        <v>44529</v>
      </c>
      <c r="E59" s="59">
        <v>45482</v>
      </c>
      <c r="F59" s="51">
        <v>0.37434699999999999</v>
      </c>
      <c r="G59" s="51">
        <v>0.50003819999999999</v>
      </c>
      <c r="H59" s="235"/>
      <c r="I59" s="5" t="s">
        <v>43</v>
      </c>
      <c r="J59" s="5" t="s">
        <v>43</v>
      </c>
      <c r="K59" s="245"/>
      <c r="L59" s="19"/>
      <c r="M59" s="4"/>
    </row>
    <row r="60" spans="1:13" x14ac:dyDescent="0.2">
      <c r="A60" s="3"/>
      <c r="B60" s="219"/>
      <c r="C60" s="26" t="s">
        <v>94</v>
      </c>
      <c r="D60" s="58">
        <v>44585</v>
      </c>
      <c r="E60" s="58">
        <v>45012</v>
      </c>
      <c r="F60" s="53">
        <v>0.29619669999999998</v>
      </c>
      <c r="G60" s="53">
        <v>0.42483369999999998</v>
      </c>
      <c r="H60" s="235"/>
      <c r="I60" s="27" t="s">
        <v>43</v>
      </c>
      <c r="J60" s="27" t="s">
        <v>43</v>
      </c>
      <c r="K60" s="245"/>
      <c r="L60" s="19"/>
      <c r="M60" s="4"/>
    </row>
    <row r="61" spans="1:13" x14ac:dyDescent="0.2">
      <c r="A61" s="3"/>
      <c r="B61" s="219"/>
      <c r="C61" s="17" t="s">
        <v>38</v>
      </c>
      <c r="D61" s="59">
        <v>44640</v>
      </c>
      <c r="E61" s="59">
        <v>45485</v>
      </c>
      <c r="F61" s="51">
        <v>0.63962920000000001</v>
      </c>
      <c r="G61" s="51">
        <v>0.69418380000000002</v>
      </c>
      <c r="H61" s="235"/>
      <c r="I61" s="5" t="s">
        <v>43</v>
      </c>
      <c r="J61" s="5" t="s">
        <v>43</v>
      </c>
      <c r="K61" s="245"/>
      <c r="L61" s="19"/>
      <c r="M61" s="4"/>
    </row>
    <row r="62" spans="1:13" x14ac:dyDescent="0.2">
      <c r="A62" s="3"/>
      <c r="B62" s="219"/>
      <c r="C62" s="17" t="s">
        <v>28</v>
      </c>
      <c r="D62" s="59">
        <v>44803</v>
      </c>
      <c r="E62" s="59">
        <v>45304</v>
      </c>
      <c r="F62" s="51">
        <v>0.34361849999999999</v>
      </c>
      <c r="G62" s="51">
        <v>0.47266590000000003</v>
      </c>
      <c r="H62" s="235"/>
      <c r="I62" s="5" t="s">
        <v>43</v>
      </c>
      <c r="J62" s="5" t="s">
        <v>43</v>
      </c>
      <c r="K62" s="245"/>
      <c r="L62" s="19"/>
      <c r="M62" s="4"/>
    </row>
    <row r="63" spans="1:13" x14ac:dyDescent="0.2">
      <c r="A63" s="3"/>
      <c r="B63" s="219"/>
      <c r="C63" s="26" t="s">
        <v>95</v>
      </c>
      <c r="D63" s="58">
        <v>45138</v>
      </c>
      <c r="E63" s="58">
        <v>45428</v>
      </c>
      <c r="F63" s="53">
        <v>0.24564</v>
      </c>
      <c r="G63" s="53">
        <v>0.38864989999999999</v>
      </c>
      <c r="H63" s="235"/>
      <c r="I63" s="27" t="s">
        <v>44</v>
      </c>
      <c r="J63" s="27" t="s">
        <v>43</v>
      </c>
      <c r="K63" s="245"/>
      <c r="L63" s="19"/>
      <c r="M63" s="4"/>
    </row>
    <row r="64" spans="1:13" x14ac:dyDescent="0.2">
      <c r="A64" s="3"/>
      <c r="B64" s="219"/>
      <c r="C64" s="17" t="s">
        <v>32</v>
      </c>
      <c r="D64" s="59">
        <v>45212</v>
      </c>
      <c r="E64" s="59">
        <v>45536</v>
      </c>
      <c r="F64" s="51">
        <v>0.46959810000000002</v>
      </c>
      <c r="G64" s="51">
        <v>0.56329320000000005</v>
      </c>
      <c r="H64" s="235"/>
      <c r="I64" s="5" t="s">
        <v>43</v>
      </c>
      <c r="J64" s="5" t="s">
        <v>43</v>
      </c>
      <c r="K64" s="245"/>
      <c r="L64" s="19"/>
      <c r="M64" s="4"/>
    </row>
    <row r="65" spans="1:13" x14ac:dyDescent="0.2">
      <c r="A65" s="4"/>
      <c r="B65" s="241"/>
      <c r="C65" s="24" t="s">
        <v>120</v>
      </c>
      <c r="D65" s="60">
        <v>43892</v>
      </c>
      <c r="E65" s="60">
        <v>45475</v>
      </c>
      <c r="F65" s="25" t="s">
        <v>57</v>
      </c>
      <c r="G65" s="25" t="s">
        <v>57</v>
      </c>
      <c r="H65" s="236"/>
      <c r="I65" s="23" t="s">
        <v>57</v>
      </c>
      <c r="J65" s="23" t="s">
        <v>57</v>
      </c>
      <c r="K65" s="246"/>
      <c r="L65" s="19"/>
      <c r="M65" s="4"/>
    </row>
    <row r="66" spans="1:13" x14ac:dyDescent="0.2">
      <c r="A66" s="3"/>
      <c r="B66" s="233" t="s">
        <v>69</v>
      </c>
      <c r="C66" s="17" t="s">
        <v>15</v>
      </c>
      <c r="D66" s="59">
        <v>43893</v>
      </c>
      <c r="E66" s="59">
        <v>44971</v>
      </c>
      <c r="F66" s="51">
        <v>0.37799199999999999</v>
      </c>
      <c r="G66" s="51">
        <v>0.42055559999999997</v>
      </c>
      <c r="H66" s="234">
        <v>0.108</v>
      </c>
      <c r="I66" s="5" t="s">
        <v>43</v>
      </c>
      <c r="J66" s="5" t="s">
        <v>43</v>
      </c>
      <c r="K66" s="244">
        <v>0.68500000000000005</v>
      </c>
      <c r="L66" s="19"/>
      <c r="M66" s="4"/>
    </row>
    <row r="67" spans="1:13" x14ac:dyDescent="0.2">
      <c r="A67" s="3"/>
      <c r="B67" s="219"/>
      <c r="C67" s="17" t="s">
        <v>36</v>
      </c>
      <c r="D67" s="59">
        <v>43894</v>
      </c>
      <c r="E67" s="59">
        <v>44601</v>
      </c>
      <c r="F67" s="51">
        <v>0.68628960000000006</v>
      </c>
      <c r="G67" s="51">
        <v>0.7273347</v>
      </c>
      <c r="H67" s="235"/>
      <c r="I67" s="5" t="s">
        <v>43</v>
      </c>
      <c r="J67" s="5" t="s">
        <v>43</v>
      </c>
      <c r="K67" s="245"/>
      <c r="L67" s="19"/>
      <c r="M67" s="4"/>
    </row>
    <row r="68" spans="1:13" x14ac:dyDescent="0.2">
      <c r="A68" s="3"/>
      <c r="B68" s="219"/>
      <c r="C68" s="17" t="s">
        <v>70</v>
      </c>
      <c r="D68" s="59">
        <v>43903</v>
      </c>
      <c r="E68" s="59">
        <v>44702</v>
      </c>
      <c r="F68" s="51">
        <v>0.69665999999999995</v>
      </c>
      <c r="G68" s="51">
        <v>0.72851829999999995</v>
      </c>
      <c r="H68" s="235"/>
      <c r="I68" s="5" t="s">
        <v>43</v>
      </c>
      <c r="J68" s="5" t="s">
        <v>43</v>
      </c>
      <c r="K68" s="245"/>
      <c r="L68" s="19"/>
      <c r="M68" s="4"/>
    </row>
    <row r="69" spans="1:13" x14ac:dyDescent="0.2">
      <c r="A69" s="3"/>
      <c r="B69" s="219"/>
      <c r="C69" s="17" t="s">
        <v>20</v>
      </c>
      <c r="D69" s="59">
        <v>43918</v>
      </c>
      <c r="E69" s="59">
        <v>45412</v>
      </c>
      <c r="F69" s="51">
        <v>0.79356789999999999</v>
      </c>
      <c r="G69" s="51">
        <v>0.79682280000000005</v>
      </c>
      <c r="H69" s="235"/>
      <c r="I69" s="5" t="s">
        <v>43</v>
      </c>
      <c r="J69" s="5" t="s">
        <v>43</v>
      </c>
      <c r="K69" s="245"/>
      <c r="L69" s="19"/>
      <c r="M69" s="4"/>
    </row>
    <row r="70" spans="1:13" x14ac:dyDescent="0.2">
      <c r="A70" s="3"/>
      <c r="B70" s="219"/>
      <c r="C70" s="17" t="s">
        <v>28</v>
      </c>
      <c r="D70" s="59">
        <v>44119</v>
      </c>
      <c r="E70" s="59">
        <v>45428</v>
      </c>
      <c r="F70" s="51">
        <v>0.51740160000000002</v>
      </c>
      <c r="G70" s="51">
        <v>0.59517520000000002</v>
      </c>
      <c r="H70" s="235"/>
      <c r="I70" s="5" t="s">
        <v>43</v>
      </c>
      <c r="J70" s="5" t="s">
        <v>43</v>
      </c>
      <c r="K70" s="245"/>
      <c r="L70" s="19"/>
      <c r="M70" s="4"/>
    </row>
    <row r="71" spans="1:13" x14ac:dyDescent="0.2">
      <c r="A71" s="3"/>
      <c r="B71" s="219"/>
      <c r="C71" s="17" t="s">
        <v>14</v>
      </c>
      <c r="D71" s="59">
        <v>44208</v>
      </c>
      <c r="E71" s="59">
        <v>44763</v>
      </c>
      <c r="F71" s="51">
        <v>0.30595070000000002</v>
      </c>
      <c r="G71" s="51">
        <v>0.409416</v>
      </c>
      <c r="H71" s="235"/>
      <c r="I71" s="5" t="s">
        <v>43</v>
      </c>
      <c r="J71" s="5" t="s">
        <v>43</v>
      </c>
      <c r="K71" s="245"/>
      <c r="L71" s="19"/>
      <c r="M71" s="4"/>
    </row>
    <row r="72" spans="1:13" x14ac:dyDescent="0.2">
      <c r="A72" s="3"/>
      <c r="B72" s="219"/>
      <c r="C72" s="17" t="s">
        <v>24</v>
      </c>
      <c r="D72" s="59">
        <v>44515</v>
      </c>
      <c r="E72" s="59">
        <v>45186</v>
      </c>
      <c r="F72" s="51">
        <v>0.39892109999999997</v>
      </c>
      <c r="G72" s="51">
        <v>0.3431707</v>
      </c>
      <c r="H72" s="235"/>
      <c r="I72" s="5" t="s">
        <v>43</v>
      </c>
      <c r="J72" s="5" t="s">
        <v>43</v>
      </c>
      <c r="K72" s="245"/>
      <c r="L72" s="19"/>
      <c r="M72" s="4"/>
    </row>
    <row r="73" spans="1:13" x14ac:dyDescent="0.2">
      <c r="A73" s="3"/>
      <c r="B73" s="219"/>
      <c r="C73" s="26" t="s">
        <v>96</v>
      </c>
      <c r="D73" s="58">
        <v>44612</v>
      </c>
      <c r="E73" s="58">
        <v>45317</v>
      </c>
      <c r="F73" s="53">
        <v>0.4086611</v>
      </c>
      <c r="G73" s="53">
        <v>0.51971719999999999</v>
      </c>
      <c r="H73" s="235"/>
      <c r="I73" s="27" t="s">
        <v>44</v>
      </c>
      <c r="J73" s="27" t="s">
        <v>43</v>
      </c>
      <c r="K73" s="245"/>
      <c r="L73" s="19"/>
      <c r="M73" s="4"/>
    </row>
    <row r="74" spans="1:13" x14ac:dyDescent="0.2">
      <c r="A74" s="3"/>
      <c r="B74" s="219"/>
      <c r="C74" s="17" t="s">
        <v>32</v>
      </c>
      <c r="D74" s="59">
        <v>44929</v>
      </c>
      <c r="E74" s="59">
        <v>45514</v>
      </c>
      <c r="F74" s="51">
        <v>0.62013839999999998</v>
      </c>
      <c r="G74" s="51">
        <v>0.63413039999999998</v>
      </c>
      <c r="H74" s="235"/>
      <c r="I74" s="5" t="s">
        <v>43</v>
      </c>
      <c r="J74" s="5" t="s">
        <v>43</v>
      </c>
      <c r="K74" s="245"/>
      <c r="L74" s="19"/>
      <c r="M74" s="4"/>
    </row>
    <row r="75" spans="1:13" x14ac:dyDescent="0.2">
      <c r="A75" s="3"/>
      <c r="B75" s="219"/>
      <c r="C75" s="26" t="s">
        <v>97</v>
      </c>
      <c r="D75" s="58">
        <v>44930</v>
      </c>
      <c r="E75" s="58">
        <v>45514</v>
      </c>
      <c r="F75" s="53">
        <v>0.26592490000000002</v>
      </c>
      <c r="G75" s="53">
        <v>0.33270499999999997</v>
      </c>
      <c r="H75" s="235"/>
      <c r="I75" s="27" t="s">
        <v>43</v>
      </c>
      <c r="J75" s="27" t="s">
        <v>43</v>
      </c>
      <c r="K75" s="245"/>
      <c r="L75" s="19"/>
      <c r="M75" s="4"/>
    </row>
    <row r="76" spans="1:13" x14ac:dyDescent="0.2">
      <c r="A76" s="4"/>
      <c r="B76" s="241"/>
      <c r="C76" s="24" t="s">
        <v>60</v>
      </c>
      <c r="D76" s="60"/>
      <c r="E76" s="60"/>
      <c r="F76" s="25" t="s">
        <v>57</v>
      </c>
      <c r="G76" s="25" t="s">
        <v>57</v>
      </c>
      <c r="H76" s="236"/>
      <c r="I76" s="23" t="s">
        <v>57</v>
      </c>
      <c r="J76" s="23" t="s">
        <v>57</v>
      </c>
      <c r="K76" s="246"/>
      <c r="L76" s="19"/>
      <c r="M76" s="4"/>
    </row>
    <row r="77" spans="1:13" x14ac:dyDescent="0.2">
      <c r="A77" s="3"/>
      <c r="B77" s="242" t="s">
        <v>71</v>
      </c>
      <c r="C77" s="26" t="s">
        <v>98</v>
      </c>
      <c r="D77" s="58">
        <v>44515</v>
      </c>
      <c r="E77" s="58">
        <v>44885</v>
      </c>
      <c r="F77" s="53">
        <v>0.31837110000000002</v>
      </c>
      <c r="G77" s="53">
        <v>0.27993780000000001</v>
      </c>
      <c r="H77" s="234">
        <v>5.8999999999999997E-2</v>
      </c>
      <c r="I77" s="27" t="s">
        <v>43</v>
      </c>
      <c r="J77" s="27" t="s">
        <v>43</v>
      </c>
      <c r="K77" s="244">
        <v>0.622</v>
      </c>
      <c r="L77" s="19"/>
      <c r="M77" s="4"/>
    </row>
    <row r="78" spans="1:13" x14ac:dyDescent="0.2">
      <c r="A78" s="3"/>
      <c r="B78" s="223"/>
      <c r="C78" s="17" t="s">
        <v>20</v>
      </c>
      <c r="D78" s="59">
        <v>44522</v>
      </c>
      <c r="E78" s="59">
        <v>45026</v>
      </c>
      <c r="F78" s="51">
        <v>0.69883969999999995</v>
      </c>
      <c r="G78" s="51">
        <v>0.70247479999999995</v>
      </c>
      <c r="H78" s="235"/>
      <c r="I78" s="5" t="s">
        <v>43</v>
      </c>
      <c r="J78" s="5" t="s">
        <v>43</v>
      </c>
      <c r="K78" s="245"/>
      <c r="L78" s="19"/>
      <c r="M78" s="4"/>
    </row>
    <row r="79" spans="1:13" x14ac:dyDescent="0.2">
      <c r="A79" s="3"/>
      <c r="B79" s="223"/>
      <c r="C79" s="17" t="s">
        <v>24</v>
      </c>
      <c r="D79" s="59">
        <v>44684</v>
      </c>
      <c r="E79" s="59">
        <v>44996</v>
      </c>
      <c r="F79" s="51">
        <v>0.43378640000000002</v>
      </c>
      <c r="G79" s="51">
        <v>0.34829209999999999</v>
      </c>
      <c r="H79" s="235"/>
      <c r="I79" s="5" t="s">
        <v>43</v>
      </c>
      <c r="J79" s="5" t="s">
        <v>43</v>
      </c>
      <c r="K79" s="245"/>
      <c r="L79" s="19"/>
      <c r="M79" s="4"/>
    </row>
    <row r="80" spans="1:13" x14ac:dyDescent="0.2">
      <c r="A80" s="4"/>
      <c r="B80" s="249"/>
      <c r="C80" s="24" t="s">
        <v>119</v>
      </c>
      <c r="D80" s="60">
        <v>44368</v>
      </c>
      <c r="E80" s="60">
        <v>45039</v>
      </c>
      <c r="F80" s="25" t="s">
        <v>57</v>
      </c>
      <c r="G80" s="25" t="s">
        <v>57</v>
      </c>
      <c r="H80" s="236"/>
      <c r="I80" s="23" t="s">
        <v>57</v>
      </c>
      <c r="J80" s="23" t="s">
        <v>57</v>
      </c>
      <c r="K80" s="246"/>
      <c r="L80" s="19"/>
      <c r="M80" s="4"/>
    </row>
    <row r="81" spans="1:13" x14ac:dyDescent="0.2">
      <c r="A81" s="3"/>
      <c r="B81" s="233" t="s">
        <v>72</v>
      </c>
      <c r="C81" s="17" t="s">
        <v>36</v>
      </c>
      <c r="D81" s="59">
        <v>43920</v>
      </c>
      <c r="E81" s="59">
        <v>44718</v>
      </c>
      <c r="F81" s="51">
        <v>0.99372720000000003</v>
      </c>
      <c r="G81" s="51">
        <v>0.95629710000000001</v>
      </c>
      <c r="H81" s="234">
        <v>0.112</v>
      </c>
      <c r="I81" s="5" t="s">
        <v>43</v>
      </c>
      <c r="J81" s="5" t="s">
        <v>43</v>
      </c>
      <c r="K81" s="244">
        <v>0.69899999999999995</v>
      </c>
      <c r="L81" s="19"/>
      <c r="M81" s="4"/>
    </row>
    <row r="82" spans="1:13" x14ac:dyDescent="0.2">
      <c r="A82" s="3"/>
      <c r="B82" s="219"/>
      <c r="C82" s="26" t="s">
        <v>99</v>
      </c>
      <c r="D82" s="58">
        <v>44060</v>
      </c>
      <c r="E82" s="58">
        <v>44344</v>
      </c>
      <c r="F82" s="53">
        <v>0.32908209999999999</v>
      </c>
      <c r="G82" s="53">
        <v>0.21408930000000001</v>
      </c>
      <c r="H82" s="235"/>
      <c r="I82" s="27" t="s">
        <v>43</v>
      </c>
      <c r="J82" s="27" t="s">
        <v>45</v>
      </c>
      <c r="K82" s="245"/>
      <c r="L82" s="19"/>
      <c r="M82" s="4"/>
    </row>
    <row r="83" spans="1:13" x14ac:dyDescent="0.2">
      <c r="A83" s="3"/>
      <c r="B83" s="219"/>
      <c r="C83" s="17" t="s">
        <v>20</v>
      </c>
      <c r="D83" s="59">
        <v>44280</v>
      </c>
      <c r="E83" s="59">
        <v>45442</v>
      </c>
      <c r="F83" s="51">
        <v>0.68782840000000001</v>
      </c>
      <c r="G83" s="51">
        <v>0.70852289999999996</v>
      </c>
      <c r="H83" s="235"/>
      <c r="I83" s="5" t="s">
        <v>43</v>
      </c>
      <c r="J83" s="5" t="s">
        <v>43</v>
      </c>
      <c r="K83" s="245"/>
      <c r="L83" s="19"/>
      <c r="M83" s="4"/>
    </row>
    <row r="84" spans="1:13" x14ac:dyDescent="0.2">
      <c r="A84" s="3"/>
      <c r="B84" s="219"/>
      <c r="C84" s="26" t="s">
        <v>58</v>
      </c>
      <c r="D84" s="58">
        <v>44531</v>
      </c>
      <c r="E84" s="58">
        <v>45088</v>
      </c>
      <c r="F84" s="53">
        <v>0.44109530000000002</v>
      </c>
      <c r="G84" s="53">
        <v>0.310089</v>
      </c>
      <c r="H84" s="235"/>
      <c r="I84" s="27" t="s">
        <v>43</v>
      </c>
      <c r="J84" s="27" t="s">
        <v>45</v>
      </c>
      <c r="K84" s="245"/>
      <c r="L84" s="19"/>
      <c r="M84" s="4"/>
    </row>
    <row r="85" spans="1:13" x14ac:dyDescent="0.2">
      <c r="A85" s="3"/>
      <c r="B85" s="219"/>
      <c r="C85" s="26" t="s">
        <v>98</v>
      </c>
      <c r="D85" s="58">
        <v>44544</v>
      </c>
      <c r="E85" s="58">
        <v>45272</v>
      </c>
      <c r="F85" s="53">
        <v>0.2431798</v>
      </c>
      <c r="G85" s="53">
        <v>0.30382589999999998</v>
      </c>
      <c r="H85" s="235"/>
      <c r="I85" s="27" t="s">
        <v>43</v>
      </c>
      <c r="J85" s="27" t="s">
        <v>43</v>
      </c>
      <c r="K85" s="245"/>
      <c r="L85" s="19"/>
      <c r="M85" s="4"/>
    </row>
    <row r="86" spans="1:13" x14ac:dyDescent="0.2">
      <c r="A86" s="3"/>
      <c r="B86" s="219"/>
      <c r="C86" s="17" t="s">
        <v>28</v>
      </c>
      <c r="D86" s="59">
        <v>44572</v>
      </c>
      <c r="E86" s="59">
        <v>45300</v>
      </c>
      <c r="F86" s="51">
        <v>0.29954979999999998</v>
      </c>
      <c r="G86" s="51">
        <v>0.3968894</v>
      </c>
      <c r="H86" s="235"/>
      <c r="I86" s="5" t="s">
        <v>43</v>
      </c>
      <c r="J86" s="5" t="s">
        <v>43</v>
      </c>
      <c r="K86" s="245"/>
      <c r="L86" s="19"/>
      <c r="M86" s="4"/>
    </row>
    <row r="87" spans="1:13" x14ac:dyDescent="0.2">
      <c r="A87" s="3"/>
      <c r="B87" s="219"/>
      <c r="C87" s="17" t="s">
        <v>24</v>
      </c>
      <c r="D87" s="59">
        <v>44685</v>
      </c>
      <c r="E87" s="59">
        <v>45115</v>
      </c>
      <c r="F87" s="51">
        <v>0.3320458</v>
      </c>
      <c r="G87" s="51">
        <v>0.40134540000000002</v>
      </c>
      <c r="H87" s="235"/>
      <c r="I87" s="5" t="s">
        <v>43</v>
      </c>
      <c r="J87" s="5" t="s">
        <v>43</v>
      </c>
      <c r="K87" s="245"/>
      <c r="L87" s="19"/>
      <c r="M87" s="4"/>
    </row>
    <row r="88" spans="1:13" x14ac:dyDescent="0.2">
      <c r="A88" s="3"/>
      <c r="B88" s="219"/>
      <c r="C88" s="17" t="s">
        <v>38</v>
      </c>
      <c r="D88" s="59">
        <v>44889</v>
      </c>
      <c r="E88" s="59">
        <v>45417</v>
      </c>
      <c r="F88" s="51">
        <v>0.40136349999999998</v>
      </c>
      <c r="G88" s="51">
        <v>0.50553550000000003</v>
      </c>
      <c r="H88" s="235"/>
      <c r="I88" s="5" t="s">
        <v>43</v>
      </c>
      <c r="J88" s="5" t="s">
        <v>43</v>
      </c>
      <c r="K88" s="245"/>
      <c r="L88" s="19"/>
      <c r="M88" s="4"/>
    </row>
    <row r="89" spans="1:13" x14ac:dyDescent="0.2">
      <c r="A89" s="3"/>
      <c r="B89" s="219"/>
      <c r="C89" s="17" t="s">
        <v>32</v>
      </c>
      <c r="D89" s="59">
        <v>44928</v>
      </c>
      <c r="E89" s="59">
        <v>45522</v>
      </c>
      <c r="F89" s="51">
        <v>0.74271799999999999</v>
      </c>
      <c r="G89" s="51">
        <v>0.76614539999999998</v>
      </c>
      <c r="H89" s="235"/>
      <c r="I89" s="5" t="s">
        <v>43</v>
      </c>
      <c r="J89" s="5" t="s">
        <v>43</v>
      </c>
      <c r="K89" s="245"/>
      <c r="L89" s="19"/>
      <c r="M89" s="4"/>
    </row>
    <row r="90" spans="1:13" x14ac:dyDescent="0.2">
      <c r="A90" s="4"/>
      <c r="B90" s="241"/>
      <c r="C90" s="24" t="s">
        <v>118</v>
      </c>
      <c r="D90" s="60">
        <v>43963</v>
      </c>
      <c r="E90" s="60">
        <v>45492</v>
      </c>
      <c r="F90" s="25" t="s">
        <v>57</v>
      </c>
      <c r="G90" s="25" t="s">
        <v>57</v>
      </c>
      <c r="H90" s="236"/>
      <c r="I90" s="23" t="s">
        <v>57</v>
      </c>
      <c r="J90" s="23" t="s">
        <v>57</v>
      </c>
      <c r="K90" s="246"/>
      <c r="L90" s="19"/>
      <c r="M90" s="4"/>
    </row>
    <row r="91" spans="1:13" x14ac:dyDescent="0.2">
      <c r="A91" s="3"/>
      <c r="B91" s="233" t="s">
        <v>73</v>
      </c>
      <c r="C91" s="17" t="s">
        <v>36</v>
      </c>
      <c r="D91" s="59">
        <v>43892</v>
      </c>
      <c r="E91" s="59">
        <v>44912</v>
      </c>
      <c r="F91" s="51">
        <v>0.94650339999999999</v>
      </c>
      <c r="G91" s="51">
        <v>0.91712479999999996</v>
      </c>
      <c r="H91" s="234">
        <v>0.108</v>
      </c>
      <c r="I91" s="5" t="s">
        <v>43</v>
      </c>
      <c r="J91" s="5" t="s">
        <v>43</v>
      </c>
      <c r="K91" s="244">
        <v>0.64700000000000002</v>
      </c>
      <c r="L91" s="19"/>
      <c r="M91" s="4"/>
    </row>
    <row r="92" spans="1:13" x14ac:dyDescent="0.2">
      <c r="A92" s="3"/>
      <c r="B92" s="219"/>
      <c r="C92" s="17" t="s">
        <v>20</v>
      </c>
      <c r="D92" s="59">
        <v>43998</v>
      </c>
      <c r="E92" s="59">
        <v>45492</v>
      </c>
      <c r="F92" s="51">
        <v>0.66738399999999998</v>
      </c>
      <c r="G92" s="51">
        <v>0.68445739999999999</v>
      </c>
      <c r="H92" s="235"/>
      <c r="I92" s="5" t="s">
        <v>43</v>
      </c>
      <c r="J92" s="5" t="s">
        <v>43</v>
      </c>
      <c r="K92" s="245"/>
      <c r="L92" s="19"/>
      <c r="M92" s="4"/>
    </row>
    <row r="93" spans="1:13" x14ac:dyDescent="0.2">
      <c r="A93" s="3"/>
      <c r="B93" s="219"/>
      <c r="C93" s="17" t="s">
        <v>19</v>
      </c>
      <c r="D93" s="59">
        <v>44141</v>
      </c>
      <c r="E93" s="59">
        <v>45154</v>
      </c>
      <c r="F93" s="51">
        <v>0.38754450000000001</v>
      </c>
      <c r="G93" s="51">
        <v>0.48385879999999998</v>
      </c>
      <c r="H93" s="235"/>
      <c r="I93" s="5" t="s">
        <v>43</v>
      </c>
      <c r="J93" s="5" t="s">
        <v>43</v>
      </c>
      <c r="K93" s="245"/>
      <c r="L93" s="19"/>
      <c r="M93" s="4"/>
    </row>
    <row r="94" spans="1:13" x14ac:dyDescent="0.2">
      <c r="A94" s="3"/>
      <c r="B94" s="219"/>
      <c r="C94" s="17" t="s">
        <v>14</v>
      </c>
      <c r="D94" s="59">
        <v>44155</v>
      </c>
      <c r="E94" s="59">
        <v>44912</v>
      </c>
      <c r="F94" s="51">
        <v>0.35814459999999998</v>
      </c>
      <c r="G94" s="51">
        <v>0.45854109999999998</v>
      </c>
      <c r="H94" s="235"/>
      <c r="I94" s="5" t="s">
        <v>43</v>
      </c>
      <c r="J94" s="5" t="s">
        <v>43</v>
      </c>
      <c r="K94" s="245"/>
      <c r="L94" s="19"/>
      <c r="M94" s="4"/>
    </row>
    <row r="95" spans="1:13" x14ac:dyDescent="0.2">
      <c r="A95" s="3"/>
      <c r="B95" s="219"/>
      <c r="C95" s="17" t="s">
        <v>24</v>
      </c>
      <c r="D95" s="59">
        <v>44393</v>
      </c>
      <c r="E95" s="59">
        <v>45454</v>
      </c>
      <c r="F95" s="51">
        <v>0.43475799999999998</v>
      </c>
      <c r="G95" s="51">
        <v>0.4871646</v>
      </c>
      <c r="H95" s="235"/>
      <c r="I95" s="5" t="s">
        <v>43</v>
      </c>
      <c r="J95" s="5" t="s">
        <v>43</v>
      </c>
      <c r="K95" s="245"/>
      <c r="L95" s="19"/>
      <c r="M95" s="4"/>
    </row>
    <row r="96" spans="1:13" x14ac:dyDescent="0.2">
      <c r="A96" s="3"/>
      <c r="B96" s="219"/>
      <c r="C96" s="17" t="s">
        <v>28</v>
      </c>
      <c r="D96" s="59">
        <v>44393</v>
      </c>
      <c r="E96" s="59">
        <v>45376</v>
      </c>
      <c r="F96" s="51">
        <v>0.51681900000000003</v>
      </c>
      <c r="G96" s="51">
        <v>0.59169300000000002</v>
      </c>
      <c r="H96" s="235"/>
      <c r="I96" s="5" t="s">
        <v>43</v>
      </c>
      <c r="J96" s="5" t="s">
        <v>43</v>
      </c>
      <c r="K96" s="245"/>
      <c r="L96" s="19"/>
      <c r="M96" s="4"/>
    </row>
    <row r="97" spans="1:13" x14ac:dyDescent="0.2">
      <c r="A97" s="3"/>
      <c r="B97" s="219"/>
      <c r="C97" s="17" t="s">
        <v>32</v>
      </c>
      <c r="D97" s="59">
        <v>44393</v>
      </c>
      <c r="E97" s="59">
        <v>45513</v>
      </c>
      <c r="F97" s="51">
        <v>0.89175210000000005</v>
      </c>
      <c r="G97" s="51">
        <v>0.87369019999999997</v>
      </c>
      <c r="H97" s="235"/>
      <c r="I97" s="5" t="s">
        <v>43</v>
      </c>
      <c r="J97" s="5" t="s">
        <v>43</v>
      </c>
      <c r="K97" s="245"/>
      <c r="L97" s="19"/>
      <c r="M97" s="4"/>
    </row>
    <row r="98" spans="1:13" x14ac:dyDescent="0.2">
      <c r="A98" s="3"/>
      <c r="B98" s="219"/>
      <c r="C98" s="17" t="s">
        <v>38</v>
      </c>
      <c r="D98" s="59">
        <v>44393</v>
      </c>
      <c r="E98" s="59">
        <v>45491</v>
      </c>
      <c r="F98" s="51">
        <v>0.4879618</v>
      </c>
      <c r="G98" s="51">
        <v>0.56276649999999995</v>
      </c>
      <c r="H98" s="235"/>
      <c r="I98" s="5" t="s">
        <v>43</v>
      </c>
      <c r="J98" s="5" t="s">
        <v>43</v>
      </c>
      <c r="K98" s="245"/>
      <c r="L98" s="19"/>
      <c r="M98" s="4"/>
    </row>
    <row r="99" spans="1:13" x14ac:dyDescent="0.2">
      <c r="A99" s="4"/>
      <c r="B99" s="241"/>
      <c r="C99" s="24" t="s">
        <v>117</v>
      </c>
      <c r="D99" s="60">
        <v>44133</v>
      </c>
      <c r="E99" s="60">
        <v>45515</v>
      </c>
      <c r="F99" s="25" t="s">
        <v>57</v>
      </c>
      <c r="G99" s="25" t="s">
        <v>57</v>
      </c>
      <c r="H99" s="236"/>
      <c r="I99" s="23" t="s">
        <v>57</v>
      </c>
      <c r="J99" s="23" t="s">
        <v>57</v>
      </c>
      <c r="K99" s="246"/>
      <c r="L99" s="19"/>
      <c r="M99" s="4"/>
    </row>
    <row r="100" spans="1:13" x14ac:dyDescent="0.2">
      <c r="A100" s="3"/>
      <c r="B100" s="233" t="s">
        <v>74</v>
      </c>
      <c r="C100" s="17" t="s">
        <v>75</v>
      </c>
      <c r="D100" s="59">
        <v>44008</v>
      </c>
      <c r="E100" s="59">
        <v>44720</v>
      </c>
      <c r="F100" s="51">
        <v>0.45467170000000001</v>
      </c>
      <c r="G100" s="51">
        <v>0.53731200999999995</v>
      </c>
      <c r="H100" s="234">
        <v>0.14899999999999999</v>
      </c>
      <c r="I100" s="5" t="s">
        <v>43</v>
      </c>
      <c r="J100" s="5" t="s">
        <v>43</v>
      </c>
      <c r="K100" s="244">
        <v>0.61099999999999999</v>
      </c>
      <c r="L100" s="19"/>
      <c r="M100" s="4"/>
    </row>
    <row r="101" spans="1:13" x14ac:dyDescent="0.2">
      <c r="A101" s="3"/>
      <c r="B101" s="219"/>
      <c r="C101" s="17" t="s">
        <v>35</v>
      </c>
      <c r="D101" s="59">
        <v>44050</v>
      </c>
      <c r="E101" s="59">
        <v>44767</v>
      </c>
      <c r="F101" s="51">
        <v>0.83361580000000002</v>
      </c>
      <c r="G101" s="51">
        <v>0.82819443000000004</v>
      </c>
      <c r="H101" s="235"/>
      <c r="I101" s="5" t="s">
        <v>43</v>
      </c>
      <c r="J101" s="5" t="s">
        <v>43</v>
      </c>
      <c r="K101" s="245"/>
      <c r="L101" s="19"/>
      <c r="M101" s="4"/>
    </row>
    <row r="102" spans="1:13" x14ac:dyDescent="0.2">
      <c r="A102" s="3"/>
      <c r="B102" s="219"/>
      <c r="C102" s="17" t="s">
        <v>17</v>
      </c>
      <c r="D102" s="59">
        <v>44058</v>
      </c>
      <c r="E102" s="59">
        <v>45297</v>
      </c>
      <c r="F102" s="51">
        <v>0.35274169999999999</v>
      </c>
      <c r="G102" s="51">
        <v>0.42390886</v>
      </c>
      <c r="H102" s="235"/>
      <c r="I102" s="5" t="s">
        <v>43</v>
      </c>
      <c r="J102" s="5" t="s">
        <v>43</v>
      </c>
      <c r="K102" s="245"/>
      <c r="L102" s="19"/>
      <c r="M102" s="4"/>
    </row>
    <row r="103" spans="1:13" x14ac:dyDescent="0.2">
      <c r="A103" s="3"/>
      <c r="B103" s="219"/>
      <c r="C103" s="17" t="s">
        <v>18</v>
      </c>
      <c r="D103" s="59">
        <v>44208</v>
      </c>
      <c r="E103" s="59">
        <v>44987</v>
      </c>
      <c r="F103" s="51">
        <v>0.42614069999999998</v>
      </c>
      <c r="G103" s="51">
        <v>0.43060419</v>
      </c>
      <c r="H103" s="235"/>
      <c r="I103" s="5" t="s">
        <v>43</v>
      </c>
      <c r="J103" s="5" t="s">
        <v>43</v>
      </c>
      <c r="K103" s="245"/>
      <c r="L103" s="19"/>
      <c r="M103" s="4"/>
    </row>
    <row r="104" spans="1:13" x14ac:dyDescent="0.2">
      <c r="A104" s="3"/>
      <c r="B104" s="219"/>
      <c r="C104" s="17" t="s">
        <v>76</v>
      </c>
      <c r="D104" s="59">
        <v>44255</v>
      </c>
      <c r="E104" s="59">
        <v>45096</v>
      </c>
      <c r="F104" s="51">
        <v>0.51107950000000002</v>
      </c>
      <c r="G104" s="51">
        <v>0.58915163000000004</v>
      </c>
      <c r="H104" s="235"/>
      <c r="I104" s="5" t="s">
        <v>43</v>
      </c>
      <c r="J104" s="5" t="s">
        <v>43</v>
      </c>
      <c r="K104" s="245"/>
      <c r="L104" s="19"/>
      <c r="M104" s="4"/>
    </row>
    <row r="105" spans="1:13" x14ac:dyDescent="0.2">
      <c r="A105" s="3"/>
      <c r="B105" s="219"/>
      <c r="C105" s="26" t="s">
        <v>100</v>
      </c>
      <c r="D105" s="58">
        <v>44517</v>
      </c>
      <c r="E105" s="58">
        <v>45338</v>
      </c>
      <c r="F105" s="53">
        <v>0.81113100000000005</v>
      </c>
      <c r="G105" s="53">
        <v>0.81713628000000005</v>
      </c>
      <c r="H105" s="235"/>
      <c r="I105" s="27" t="s">
        <v>44</v>
      </c>
      <c r="J105" s="27" t="s">
        <v>43</v>
      </c>
      <c r="K105" s="245"/>
      <c r="L105" s="19"/>
      <c r="M105" s="4"/>
    </row>
    <row r="106" spans="1:13" x14ac:dyDescent="0.2">
      <c r="A106" s="3"/>
      <c r="B106" s="219"/>
      <c r="C106" s="17" t="s">
        <v>26</v>
      </c>
      <c r="D106" s="59">
        <v>44567</v>
      </c>
      <c r="E106" s="59">
        <v>45251</v>
      </c>
      <c r="F106" s="51">
        <v>0.3530626</v>
      </c>
      <c r="G106" s="51">
        <v>0.44999760999999999</v>
      </c>
      <c r="H106" s="235"/>
      <c r="I106" s="5" t="s">
        <v>43</v>
      </c>
      <c r="J106" s="5" t="s">
        <v>43</v>
      </c>
      <c r="K106" s="245"/>
      <c r="L106" s="19"/>
      <c r="M106" s="4"/>
    </row>
    <row r="107" spans="1:13" x14ac:dyDescent="0.2">
      <c r="A107" s="3"/>
      <c r="B107" s="219"/>
      <c r="C107" s="26" t="s">
        <v>101</v>
      </c>
      <c r="D107" s="58">
        <v>44609</v>
      </c>
      <c r="E107" s="58">
        <v>44879</v>
      </c>
      <c r="F107" s="53">
        <v>0.30315629999999999</v>
      </c>
      <c r="G107" s="53">
        <v>7.6883290000000007E-2</v>
      </c>
      <c r="H107" s="235"/>
      <c r="I107" s="27" t="s">
        <v>43</v>
      </c>
      <c r="J107" s="27" t="s">
        <v>45</v>
      </c>
      <c r="K107" s="245"/>
      <c r="L107" s="19"/>
      <c r="M107" s="4"/>
    </row>
    <row r="108" spans="1:13" x14ac:dyDescent="0.2">
      <c r="A108" s="3"/>
      <c r="B108" s="219"/>
      <c r="C108" s="17" t="s">
        <v>28</v>
      </c>
      <c r="D108" s="59">
        <v>44731</v>
      </c>
      <c r="E108" s="59">
        <v>45080</v>
      </c>
      <c r="F108" s="51">
        <v>0.54533350000000003</v>
      </c>
      <c r="G108" s="51">
        <v>0.61558022000000001</v>
      </c>
      <c r="H108" s="235"/>
      <c r="I108" s="5" t="s">
        <v>43</v>
      </c>
      <c r="J108" s="5" t="s">
        <v>43</v>
      </c>
      <c r="K108" s="245"/>
      <c r="L108" s="19"/>
      <c r="M108" s="4"/>
    </row>
    <row r="109" spans="1:13" x14ac:dyDescent="0.2">
      <c r="A109" s="3"/>
      <c r="B109" s="219"/>
      <c r="C109" s="17" t="s">
        <v>77</v>
      </c>
      <c r="D109" s="59">
        <v>44740</v>
      </c>
      <c r="E109" s="59">
        <v>45257</v>
      </c>
      <c r="F109" s="51">
        <v>0.34334389999999998</v>
      </c>
      <c r="G109" s="51">
        <v>0.4152111</v>
      </c>
      <c r="H109" s="235"/>
      <c r="I109" s="5" t="s">
        <v>43</v>
      </c>
      <c r="J109" s="5" t="s">
        <v>43</v>
      </c>
      <c r="K109" s="245"/>
      <c r="L109" s="19"/>
      <c r="M109" s="4"/>
    </row>
    <row r="110" spans="1:13" x14ac:dyDescent="0.2">
      <c r="A110" s="3"/>
      <c r="B110" s="219"/>
      <c r="C110" s="17" t="s">
        <v>38</v>
      </c>
      <c r="D110" s="59">
        <v>44874</v>
      </c>
      <c r="E110" s="59">
        <v>45351</v>
      </c>
      <c r="F110" s="51">
        <v>0.39952789999999999</v>
      </c>
      <c r="G110" s="51">
        <v>0.46277901999999999</v>
      </c>
      <c r="H110" s="235"/>
      <c r="I110" s="5" t="s">
        <v>43</v>
      </c>
      <c r="J110" s="5" t="s">
        <v>43</v>
      </c>
      <c r="K110" s="245"/>
      <c r="L110" s="19"/>
      <c r="M110" s="4"/>
    </row>
    <row r="111" spans="1:13" x14ac:dyDescent="0.2">
      <c r="A111" s="3"/>
      <c r="B111" s="219"/>
      <c r="C111" s="17" t="s">
        <v>78</v>
      </c>
      <c r="D111" s="59">
        <v>45104</v>
      </c>
      <c r="E111" s="59">
        <v>45357</v>
      </c>
      <c r="F111" s="51">
        <v>0.45343329999999998</v>
      </c>
      <c r="G111" s="51">
        <v>0.50050121000000003</v>
      </c>
      <c r="H111" s="235"/>
      <c r="I111" s="5" t="s">
        <v>43</v>
      </c>
      <c r="J111" s="5" t="s">
        <v>43</v>
      </c>
      <c r="K111" s="245"/>
      <c r="L111" s="19"/>
      <c r="M111" s="4"/>
    </row>
    <row r="112" spans="1:13" x14ac:dyDescent="0.2">
      <c r="A112" s="3"/>
      <c r="B112" s="219"/>
      <c r="C112" s="17" t="s">
        <v>32</v>
      </c>
      <c r="D112" s="59">
        <v>45230</v>
      </c>
      <c r="E112" s="59">
        <v>45361</v>
      </c>
      <c r="F112" s="51">
        <v>0.36173559999999999</v>
      </c>
      <c r="G112" s="51">
        <v>0.33706230999999998</v>
      </c>
      <c r="H112" s="235"/>
      <c r="I112" s="5" t="s">
        <v>43</v>
      </c>
      <c r="J112" s="5" t="s">
        <v>43</v>
      </c>
      <c r="K112" s="245"/>
      <c r="L112" s="19"/>
      <c r="M112" s="4"/>
    </row>
    <row r="113" spans="1:13" x14ac:dyDescent="0.2">
      <c r="A113" s="4"/>
      <c r="B113" s="241"/>
      <c r="C113" s="24" t="s">
        <v>116</v>
      </c>
      <c r="D113" s="60">
        <v>43983</v>
      </c>
      <c r="E113" s="60">
        <v>45343</v>
      </c>
      <c r="F113" s="25" t="s">
        <v>57</v>
      </c>
      <c r="G113" s="25" t="s">
        <v>57</v>
      </c>
      <c r="H113" s="236"/>
      <c r="I113" s="23" t="s">
        <v>57</v>
      </c>
      <c r="J113" s="23" t="s">
        <v>57</v>
      </c>
      <c r="K113" s="246"/>
      <c r="L113" s="19"/>
      <c r="M113" s="4"/>
    </row>
    <row r="114" spans="1:13" x14ac:dyDescent="0.2">
      <c r="A114" s="3"/>
      <c r="B114" s="233" t="s">
        <v>79</v>
      </c>
      <c r="C114" s="17" t="s">
        <v>80</v>
      </c>
      <c r="D114" s="59">
        <v>43909</v>
      </c>
      <c r="E114" s="59">
        <v>44152</v>
      </c>
      <c r="F114" s="51">
        <v>1</v>
      </c>
      <c r="G114" s="51">
        <v>0.98818419999999996</v>
      </c>
      <c r="H114" s="234">
        <v>0.11600000000000001</v>
      </c>
      <c r="I114" s="5" t="s">
        <v>43</v>
      </c>
      <c r="J114" s="5" t="s">
        <v>43</v>
      </c>
      <c r="K114" s="244">
        <v>0.68500000000000005</v>
      </c>
      <c r="L114" s="19"/>
      <c r="M114" s="4"/>
    </row>
    <row r="115" spans="1:13" x14ac:dyDescent="0.2">
      <c r="A115" s="3"/>
      <c r="B115" s="219"/>
      <c r="C115" s="17" t="s">
        <v>81</v>
      </c>
      <c r="D115" s="59">
        <v>44372</v>
      </c>
      <c r="E115" s="59">
        <v>44726</v>
      </c>
      <c r="F115" s="51">
        <v>0.42697190000000002</v>
      </c>
      <c r="G115" s="51">
        <v>0.50778880000000004</v>
      </c>
      <c r="H115" s="235"/>
      <c r="I115" s="5" t="s">
        <v>43</v>
      </c>
      <c r="J115" s="5" t="s">
        <v>43</v>
      </c>
      <c r="K115" s="245"/>
      <c r="L115" s="19"/>
      <c r="M115" s="4"/>
    </row>
    <row r="116" spans="1:13" x14ac:dyDescent="0.2">
      <c r="A116" s="3"/>
      <c r="B116" s="219"/>
      <c r="C116" s="26" t="s">
        <v>102</v>
      </c>
      <c r="D116" s="58">
        <v>44402</v>
      </c>
      <c r="E116" s="58">
        <v>44551</v>
      </c>
      <c r="F116" s="53">
        <v>0.33775549999999999</v>
      </c>
      <c r="G116" s="53">
        <v>0.17410880000000001</v>
      </c>
      <c r="H116" s="235"/>
      <c r="I116" s="27" t="s">
        <v>43</v>
      </c>
      <c r="J116" s="27" t="s">
        <v>45</v>
      </c>
      <c r="K116" s="245"/>
      <c r="L116" s="19"/>
      <c r="M116" s="4"/>
    </row>
    <row r="117" spans="1:13" x14ac:dyDescent="0.2">
      <c r="A117" s="3"/>
      <c r="B117" s="219"/>
      <c r="C117" s="17" t="s">
        <v>20</v>
      </c>
      <c r="D117" s="59">
        <v>44531</v>
      </c>
      <c r="E117" s="59">
        <v>45503</v>
      </c>
      <c r="F117" s="51">
        <v>0.65349849999999998</v>
      </c>
      <c r="G117" s="51">
        <v>0.70568799999999998</v>
      </c>
      <c r="H117" s="235"/>
      <c r="I117" s="5" t="s">
        <v>43</v>
      </c>
      <c r="J117" s="5" t="s">
        <v>43</v>
      </c>
      <c r="K117" s="245"/>
      <c r="L117" s="19"/>
      <c r="M117" s="4"/>
    </row>
    <row r="118" spans="1:13" x14ac:dyDescent="0.2">
      <c r="A118" s="3"/>
      <c r="B118" s="219"/>
      <c r="C118" s="26" t="s">
        <v>59</v>
      </c>
      <c r="D118" s="58">
        <v>44579</v>
      </c>
      <c r="E118" s="58">
        <v>45167</v>
      </c>
      <c r="F118" s="53">
        <v>0.254249</v>
      </c>
      <c r="G118" s="53">
        <v>0.3006067</v>
      </c>
      <c r="H118" s="235"/>
      <c r="I118" s="27" t="s">
        <v>43</v>
      </c>
      <c r="J118" s="27" t="s">
        <v>43</v>
      </c>
      <c r="K118" s="245"/>
      <c r="L118" s="19"/>
      <c r="M118" s="4"/>
    </row>
    <row r="119" spans="1:13" x14ac:dyDescent="0.2">
      <c r="A119" s="3"/>
      <c r="B119" s="219"/>
      <c r="C119" s="26" t="s">
        <v>103</v>
      </c>
      <c r="D119" s="58">
        <v>44779</v>
      </c>
      <c r="E119" s="58">
        <v>45201</v>
      </c>
      <c r="F119" s="53">
        <v>0.26501229999999998</v>
      </c>
      <c r="G119" s="53">
        <v>0.33689479999999999</v>
      </c>
      <c r="H119" s="235"/>
      <c r="I119" s="27" t="s">
        <v>45</v>
      </c>
      <c r="J119" s="27" t="s">
        <v>43</v>
      </c>
      <c r="K119" s="245"/>
      <c r="L119" s="19"/>
      <c r="M119" s="4"/>
    </row>
    <row r="120" spans="1:13" x14ac:dyDescent="0.2">
      <c r="A120" s="3"/>
      <c r="B120" s="219"/>
      <c r="C120" s="17" t="s">
        <v>32</v>
      </c>
      <c r="D120" s="59">
        <v>44943</v>
      </c>
      <c r="E120" s="59">
        <v>45520</v>
      </c>
      <c r="F120" s="51">
        <v>0.73197060000000003</v>
      </c>
      <c r="G120" s="51">
        <v>0.75399050000000001</v>
      </c>
      <c r="H120" s="235"/>
      <c r="I120" s="5" t="s">
        <v>43</v>
      </c>
      <c r="J120" s="5" t="s">
        <v>43</v>
      </c>
      <c r="K120" s="245"/>
      <c r="L120" s="19"/>
      <c r="M120" s="4"/>
    </row>
    <row r="121" spans="1:13" x14ac:dyDescent="0.2">
      <c r="A121" s="3"/>
      <c r="B121" s="219"/>
      <c r="C121" s="26" t="s">
        <v>104</v>
      </c>
      <c r="D121" s="58">
        <v>45035</v>
      </c>
      <c r="E121" s="58">
        <v>45440</v>
      </c>
      <c r="F121" s="53">
        <v>0.22304550000000001</v>
      </c>
      <c r="G121" s="53">
        <v>0.30368060000000002</v>
      </c>
      <c r="H121" s="235"/>
      <c r="I121" s="27" t="s">
        <v>43</v>
      </c>
      <c r="J121" s="27" t="s">
        <v>43</v>
      </c>
      <c r="K121" s="245"/>
      <c r="L121" s="19"/>
      <c r="M121" s="4"/>
    </row>
    <row r="122" spans="1:13" x14ac:dyDescent="0.2">
      <c r="A122" s="3"/>
      <c r="B122" s="219"/>
      <c r="C122" s="17" t="s">
        <v>34</v>
      </c>
      <c r="D122" s="59">
        <v>45360</v>
      </c>
      <c r="E122" s="59">
        <v>45522</v>
      </c>
      <c r="F122" s="51">
        <v>0.385571</v>
      </c>
      <c r="G122" s="51">
        <v>0.47663470000000002</v>
      </c>
      <c r="H122" s="235"/>
      <c r="I122" s="5" t="s">
        <v>43</v>
      </c>
      <c r="J122" s="5" t="s">
        <v>43</v>
      </c>
      <c r="K122" s="245"/>
      <c r="L122" s="19"/>
      <c r="M122" s="4"/>
    </row>
    <row r="123" spans="1:13" x14ac:dyDescent="0.2">
      <c r="A123" s="4"/>
      <c r="B123" s="241"/>
      <c r="C123" s="24" t="s">
        <v>115</v>
      </c>
      <c r="D123" s="60">
        <v>44363</v>
      </c>
      <c r="E123" s="60">
        <v>45415</v>
      </c>
      <c r="F123" s="25" t="s">
        <v>57</v>
      </c>
      <c r="G123" s="25" t="s">
        <v>57</v>
      </c>
      <c r="H123" s="236"/>
      <c r="I123" s="23" t="s">
        <v>57</v>
      </c>
      <c r="J123" s="23" t="s">
        <v>57</v>
      </c>
      <c r="K123" s="246"/>
      <c r="L123" s="19"/>
      <c r="M123" s="4"/>
    </row>
    <row r="124" spans="1:13" x14ac:dyDescent="0.2">
      <c r="A124" s="3"/>
      <c r="B124" s="242" t="s">
        <v>82</v>
      </c>
      <c r="C124" s="26" t="s">
        <v>105</v>
      </c>
      <c r="D124" s="58">
        <v>43948</v>
      </c>
      <c r="E124" s="58">
        <v>44536</v>
      </c>
      <c r="F124" s="53">
        <v>0.41787299999999999</v>
      </c>
      <c r="G124" s="53">
        <v>0.37802930000000001</v>
      </c>
      <c r="H124" s="234">
        <v>0.124</v>
      </c>
      <c r="I124" s="27" t="s">
        <v>45</v>
      </c>
      <c r="J124" s="27" t="s">
        <v>43</v>
      </c>
      <c r="K124" s="244">
        <v>0.626</v>
      </c>
      <c r="L124" s="19"/>
      <c r="M124" s="4"/>
    </row>
    <row r="125" spans="1:13" x14ac:dyDescent="0.2">
      <c r="A125" s="3"/>
      <c r="B125" s="223"/>
      <c r="C125" s="26" t="s">
        <v>106</v>
      </c>
      <c r="D125" s="58">
        <v>43948</v>
      </c>
      <c r="E125" s="58">
        <v>44751</v>
      </c>
      <c r="F125" s="53">
        <v>0.42101480000000002</v>
      </c>
      <c r="G125" s="53">
        <v>0.40431400000000001</v>
      </c>
      <c r="H125" s="235"/>
      <c r="I125" s="27" t="s">
        <v>45</v>
      </c>
      <c r="J125" s="27" t="s">
        <v>43</v>
      </c>
      <c r="K125" s="245"/>
      <c r="L125" s="19"/>
      <c r="M125" s="4"/>
    </row>
    <row r="126" spans="1:13" x14ac:dyDescent="0.2">
      <c r="A126" s="3"/>
      <c r="B126" s="223"/>
      <c r="C126" s="17" t="s">
        <v>9</v>
      </c>
      <c r="D126" s="59">
        <v>43952</v>
      </c>
      <c r="E126" s="59">
        <v>44935</v>
      </c>
      <c r="F126" s="51">
        <v>0.88717599999999996</v>
      </c>
      <c r="G126" s="51">
        <v>0.86927529999999997</v>
      </c>
      <c r="H126" s="235"/>
      <c r="I126" s="5" t="s">
        <v>43</v>
      </c>
      <c r="J126" s="5" t="s">
        <v>43</v>
      </c>
      <c r="K126" s="245"/>
      <c r="L126" s="19"/>
      <c r="M126" s="4"/>
    </row>
    <row r="127" spans="1:13" x14ac:dyDescent="0.2">
      <c r="A127" s="3"/>
      <c r="B127" s="223"/>
      <c r="C127" s="26" t="s">
        <v>108</v>
      </c>
      <c r="D127" s="58">
        <v>44009</v>
      </c>
      <c r="E127" s="58">
        <v>44501</v>
      </c>
      <c r="F127" s="53">
        <v>0.33291700000000002</v>
      </c>
      <c r="G127" s="53">
        <v>0.22969690000000001</v>
      </c>
      <c r="H127" s="235"/>
      <c r="I127" s="27" t="s">
        <v>43</v>
      </c>
      <c r="J127" s="27" t="s">
        <v>43</v>
      </c>
      <c r="K127" s="245"/>
      <c r="L127" s="19"/>
      <c r="M127" s="4"/>
    </row>
    <row r="128" spans="1:13" x14ac:dyDescent="0.2">
      <c r="A128" s="3"/>
      <c r="B128" s="223"/>
      <c r="C128" s="17" t="s">
        <v>20</v>
      </c>
      <c r="D128" s="59">
        <v>44044</v>
      </c>
      <c r="E128" s="59">
        <v>45301</v>
      </c>
      <c r="F128" s="51">
        <v>0.72219290000000003</v>
      </c>
      <c r="G128" s="51">
        <v>0.72374349999999998</v>
      </c>
      <c r="H128" s="235"/>
      <c r="I128" s="5" t="s">
        <v>43</v>
      </c>
      <c r="J128" s="5" t="s">
        <v>43</v>
      </c>
      <c r="K128" s="245"/>
      <c r="L128" s="19"/>
      <c r="M128" s="4"/>
    </row>
    <row r="129" spans="1:13" x14ac:dyDescent="0.2">
      <c r="A129" s="3"/>
      <c r="B129" s="223"/>
      <c r="C129" s="17" t="s">
        <v>83</v>
      </c>
      <c r="D129" s="59">
        <v>44051</v>
      </c>
      <c r="E129" s="59">
        <v>45019</v>
      </c>
      <c r="F129" s="51">
        <v>0.31859860000000001</v>
      </c>
      <c r="G129" s="51">
        <v>0.27874870000000002</v>
      </c>
      <c r="H129" s="235"/>
      <c r="I129" s="5" t="s">
        <v>43</v>
      </c>
      <c r="J129" s="5" t="s">
        <v>43</v>
      </c>
      <c r="K129" s="245"/>
      <c r="L129" s="19"/>
      <c r="M129" s="4"/>
    </row>
    <row r="130" spans="1:13" x14ac:dyDescent="0.2">
      <c r="A130" s="3"/>
      <c r="B130" s="223"/>
      <c r="C130" s="17" t="s">
        <v>21</v>
      </c>
      <c r="D130" s="59">
        <v>44446</v>
      </c>
      <c r="E130" s="59">
        <v>45035</v>
      </c>
      <c r="F130" s="51">
        <v>0.4418861</v>
      </c>
      <c r="G130" s="51">
        <v>0.47317749999999997</v>
      </c>
      <c r="H130" s="235"/>
      <c r="I130" s="5" t="s">
        <v>43</v>
      </c>
      <c r="J130" s="5" t="s">
        <v>43</v>
      </c>
      <c r="K130" s="245"/>
      <c r="L130" s="19"/>
      <c r="M130" s="4"/>
    </row>
    <row r="131" spans="1:13" x14ac:dyDescent="0.2">
      <c r="A131" s="3"/>
      <c r="B131" s="223"/>
      <c r="C131" s="17" t="s">
        <v>84</v>
      </c>
      <c r="D131" s="59">
        <v>44568</v>
      </c>
      <c r="E131" s="59">
        <v>44840</v>
      </c>
      <c r="F131" s="51">
        <v>0.33355489999999999</v>
      </c>
      <c r="G131" s="51">
        <v>0.4434187</v>
      </c>
      <c r="H131" s="235"/>
      <c r="I131" s="5" t="s">
        <v>43</v>
      </c>
      <c r="J131" s="5" t="s">
        <v>43</v>
      </c>
      <c r="K131" s="245"/>
      <c r="L131" s="19"/>
      <c r="M131" s="4"/>
    </row>
    <row r="132" spans="1:13" x14ac:dyDescent="0.2">
      <c r="A132" s="3"/>
      <c r="B132" s="223"/>
      <c r="C132" s="17" t="s">
        <v>85</v>
      </c>
      <c r="D132" s="59">
        <v>44569</v>
      </c>
      <c r="E132" s="59">
        <v>45267</v>
      </c>
      <c r="F132" s="51">
        <v>0.7326047</v>
      </c>
      <c r="G132" s="51">
        <v>0.74808770000000002</v>
      </c>
      <c r="H132" s="235"/>
      <c r="I132" s="5" t="s">
        <v>43</v>
      </c>
      <c r="J132" s="5" t="s">
        <v>43</v>
      </c>
      <c r="K132" s="245"/>
      <c r="L132" s="19"/>
      <c r="M132" s="4"/>
    </row>
    <row r="133" spans="1:13" x14ac:dyDescent="0.2">
      <c r="A133" s="3"/>
      <c r="B133" s="223"/>
      <c r="C133" s="26" t="s">
        <v>107</v>
      </c>
      <c r="D133" s="58">
        <v>44930</v>
      </c>
      <c r="E133" s="58">
        <v>45299</v>
      </c>
      <c r="F133" s="53">
        <v>0.335204</v>
      </c>
      <c r="G133" s="53">
        <v>0.19055920000000001</v>
      </c>
      <c r="H133" s="235"/>
      <c r="I133" s="27" t="s">
        <v>43</v>
      </c>
      <c r="J133" s="27" t="s">
        <v>43</v>
      </c>
      <c r="K133" s="245"/>
      <c r="L133" s="19"/>
      <c r="M133" s="4"/>
    </row>
    <row r="134" spans="1:13" x14ac:dyDescent="0.2">
      <c r="A134" s="3"/>
      <c r="B134" s="223"/>
      <c r="C134" s="17" t="s">
        <v>37</v>
      </c>
      <c r="D134" s="59">
        <v>44930</v>
      </c>
      <c r="E134" s="59">
        <v>45299</v>
      </c>
      <c r="F134" s="51">
        <v>0.54510270000000005</v>
      </c>
      <c r="G134" s="51">
        <v>0.59565670000000004</v>
      </c>
      <c r="H134" s="235"/>
      <c r="I134" s="5" t="s">
        <v>43</v>
      </c>
      <c r="J134" s="5" t="s">
        <v>43</v>
      </c>
      <c r="K134" s="245"/>
      <c r="L134" s="19"/>
      <c r="M134" s="4"/>
    </row>
    <row r="135" spans="1:13" x14ac:dyDescent="0.2">
      <c r="A135" s="4"/>
      <c r="B135" s="249"/>
      <c r="C135" s="24" t="s">
        <v>113</v>
      </c>
      <c r="D135" s="60">
        <v>43964</v>
      </c>
      <c r="E135" s="60">
        <v>45139</v>
      </c>
      <c r="F135" s="25" t="s">
        <v>57</v>
      </c>
      <c r="G135" s="25" t="s">
        <v>57</v>
      </c>
      <c r="H135" s="236"/>
      <c r="I135" s="23" t="s">
        <v>57</v>
      </c>
      <c r="J135" s="23" t="s">
        <v>57</v>
      </c>
      <c r="K135" s="246"/>
      <c r="L135" s="19"/>
      <c r="M135" s="4"/>
    </row>
    <row r="136" spans="1:13" x14ac:dyDescent="0.2">
      <c r="A136" s="3"/>
      <c r="B136" s="233" t="s">
        <v>86</v>
      </c>
      <c r="C136" s="17" t="s">
        <v>36</v>
      </c>
      <c r="D136" s="59">
        <v>43896</v>
      </c>
      <c r="E136" s="59">
        <v>44628</v>
      </c>
      <c r="F136" s="51">
        <v>0.83000370000000001</v>
      </c>
      <c r="G136" s="51">
        <v>0.82738920000000005</v>
      </c>
      <c r="H136" s="234">
        <v>0.12</v>
      </c>
      <c r="I136" s="5" t="s">
        <v>43</v>
      </c>
      <c r="J136" s="5" t="s">
        <v>43</v>
      </c>
      <c r="K136" s="244">
        <v>0.64500000000000002</v>
      </c>
      <c r="L136" s="19"/>
      <c r="M136" s="4"/>
    </row>
    <row r="137" spans="1:13" x14ac:dyDescent="0.2">
      <c r="A137" s="3"/>
      <c r="B137" s="219"/>
      <c r="C137" s="26" t="s">
        <v>111</v>
      </c>
      <c r="D137" s="58">
        <v>44032</v>
      </c>
      <c r="E137" s="58">
        <v>45073</v>
      </c>
      <c r="F137" s="53">
        <v>0.37309989999999998</v>
      </c>
      <c r="G137" s="53">
        <v>0.23529410000000001</v>
      </c>
      <c r="H137" s="235"/>
      <c r="I137" s="27" t="s">
        <v>43</v>
      </c>
      <c r="J137" s="27" t="s">
        <v>43</v>
      </c>
      <c r="K137" s="245"/>
      <c r="L137" s="19"/>
      <c r="M137" s="4"/>
    </row>
    <row r="138" spans="1:13" x14ac:dyDescent="0.2">
      <c r="A138" s="3"/>
      <c r="B138" s="219"/>
      <c r="C138" s="17" t="s">
        <v>24</v>
      </c>
      <c r="D138" s="59">
        <v>44032</v>
      </c>
      <c r="E138" s="59">
        <v>45156</v>
      </c>
      <c r="F138" s="51">
        <v>0.3201814</v>
      </c>
      <c r="G138" s="51">
        <v>0.35681010000000002</v>
      </c>
      <c r="H138" s="235"/>
      <c r="I138" s="5" t="s">
        <v>43</v>
      </c>
      <c r="J138" s="5" t="s">
        <v>43</v>
      </c>
      <c r="K138" s="245"/>
      <c r="L138" s="19"/>
      <c r="M138" s="4"/>
    </row>
    <row r="139" spans="1:13" x14ac:dyDescent="0.2">
      <c r="A139" s="3"/>
      <c r="B139" s="219"/>
      <c r="C139" s="26" t="s">
        <v>59</v>
      </c>
      <c r="D139" s="58">
        <v>44032</v>
      </c>
      <c r="E139" s="58">
        <v>45273</v>
      </c>
      <c r="F139" s="53">
        <v>0.3025272</v>
      </c>
      <c r="G139" s="53">
        <v>0.26759460000000002</v>
      </c>
      <c r="H139" s="235"/>
      <c r="I139" s="27" t="s">
        <v>43</v>
      </c>
      <c r="J139" s="27" t="s">
        <v>43</v>
      </c>
      <c r="K139" s="245"/>
      <c r="L139" s="19"/>
      <c r="M139" s="4"/>
    </row>
    <row r="140" spans="1:13" x14ac:dyDescent="0.2">
      <c r="A140" s="3"/>
      <c r="B140" s="219"/>
      <c r="C140" s="26" t="s">
        <v>112</v>
      </c>
      <c r="D140" s="58">
        <v>44033</v>
      </c>
      <c r="E140" s="58">
        <v>45072</v>
      </c>
      <c r="F140" s="53">
        <v>0.30376350000000002</v>
      </c>
      <c r="G140" s="53">
        <v>0.23636360000000001</v>
      </c>
      <c r="H140" s="235"/>
      <c r="I140" s="27" t="s">
        <v>43</v>
      </c>
      <c r="J140" s="27" t="s">
        <v>43</v>
      </c>
      <c r="K140" s="245"/>
      <c r="L140" s="19"/>
      <c r="M140" s="4"/>
    </row>
    <row r="141" spans="1:13" x14ac:dyDescent="0.2">
      <c r="A141" s="3"/>
      <c r="B141" s="219"/>
      <c r="C141" s="17" t="s">
        <v>20</v>
      </c>
      <c r="D141" s="59">
        <v>44034</v>
      </c>
      <c r="E141" s="59">
        <v>45311</v>
      </c>
      <c r="F141" s="51">
        <v>0.72027289999999999</v>
      </c>
      <c r="G141" s="51">
        <v>0.74360130000000002</v>
      </c>
      <c r="H141" s="235"/>
      <c r="I141" s="5" t="s">
        <v>43</v>
      </c>
      <c r="J141" s="5" t="s">
        <v>43</v>
      </c>
      <c r="K141" s="245"/>
      <c r="L141" s="19"/>
      <c r="M141" s="4"/>
    </row>
    <row r="142" spans="1:13" x14ac:dyDescent="0.2">
      <c r="A142" s="3"/>
      <c r="B142" s="219"/>
      <c r="C142" s="26" t="s">
        <v>109</v>
      </c>
      <c r="D142" s="58">
        <v>44195</v>
      </c>
      <c r="E142" s="58">
        <v>45048</v>
      </c>
      <c r="F142" s="53">
        <v>0.37011480000000002</v>
      </c>
      <c r="G142" s="53">
        <v>0.2295497</v>
      </c>
      <c r="H142" s="235"/>
      <c r="I142" s="27" t="s">
        <v>43</v>
      </c>
      <c r="J142" s="27" t="s">
        <v>45</v>
      </c>
      <c r="K142" s="245"/>
      <c r="L142" s="19"/>
      <c r="M142" s="4"/>
    </row>
    <row r="143" spans="1:13" x14ac:dyDescent="0.2">
      <c r="A143" s="3"/>
      <c r="B143" s="219"/>
      <c r="C143" s="17" t="s">
        <v>14</v>
      </c>
      <c r="D143" s="59">
        <v>44199</v>
      </c>
      <c r="E143" s="59">
        <v>44636</v>
      </c>
      <c r="F143" s="51">
        <v>0.38537569999999999</v>
      </c>
      <c r="G143" s="51">
        <v>0.27923799999999999</v>
      </c>
      <c r="H143" s="235"/>
      <c r="I143" s="5" t="s">
        <v>43</v>
      </c>
      <c r="J143" s="5" t="s">
        <v>43</v>
      </c>
      <c r="K143" s="245"/>
      <c r="L143" s="19"/>
      <c r="M143" s="4"/>
    </row>
    <row r="144" spans="1:13" x14ac:dyDescent="0.2">
      <c r="A144" s="3"/>
      <c r="B144" s="219"/>
      <c r="C144" s="26" t="s">
        <v>110</v>
      </c>
      <c r="D144" s="58">
        <v>44199</v>
      </c>
      <c r="E144" s="58">
        <v>45190</v>
      </c>
      <c r="F144" s="53">
        <v>0.33174189999999998</v>
      </c>
      <c r="G144" s="53">
        <v>0.1841903</v>
      </c>
      <c r="H144" s="235"/>
      <c r="I144" s="27" t="s">
        <v>43</v>
      </c>
      <c r="J144" s="27" t="s">
        <v>45</v>
      </c>
      <c r="K144" s="245"/>
      <c r="L144" s="19"/>
      <c r="M144" s="4"/>
    </row>
    <row r="145" spans="1:13" x14ac:dyDescent="0.2">
      <c r="A145" s="3"/>
      <c r="B145" s="219"/>
      <c r="C145" s="17" t="s">
        <v>18</v>
      </c>
      <c r="D145" s="59">
        <v>44199</v>
      </c>
      <c r="E145" s="59">
        <v>45119</v>
      </c>
      <c r="F145" s="51">
        <v>0.33911170000000002</v>
      </c>
      <c r="G145" s="51">
        <v>0.42736449999999998</v>
      </c>
      <c r="H145" s="235"/>
      <c r="I145" s="5" t="s">
        <v>43</v>
      </c>
      <c r="J145" s="5" t="s">
        <v>43</v>
      </c>
      <c r="K145" s="245"/>
      <c r="L145" s="19"/>
      <c r="M145" s="4"/>
    </row>
    <row r="146" spans="1:13" x14ac:dyDescent="0.2">
      <c r="A146" s="3"/>
      <c r="B146" s="219"/>
      <c r="C146" s="17" t="s">
        <v>28</v>
      </c>
      <c r="D146" s="59">
        <v>44568</v>
      </c>
      <c r="E146" s="59">
        <v>45276</v>
      </c>
      <c r="F146" s="51">
        <v>0.45580789999999999</v>
      </c>
      <c r="G146" s="51">
        <v>0.55192149999999995</v>
      </c>
      <c r="H146" s="235"/>
      <c r="I146" s="5" t="s">
        <v>43</v>
      </c>
      <c r="J146" s="5" t="s">
        <v>43</v>
      </c>
      <c r="K146" s="245"/>
      <c r="L146" s="19"/>
      <c r="M146" s="4"/>
    </row>
    <row r="147" spans="1:13" x14ac:dyDescent="0.2">
      <c r="A147" s="3"/>
      <c r="B147" s="219"/>
      <c r="C147" s="17" t="s">
        <v>38</v>
      </c>
      <c r="D147" s="59">
        <v>44611</v>
      </c>
      <c r="E147" s="59">
        <v>45303</v>
      </c>
      <c r="F147" s="51">
        <v>0.37213230000000003</v>
      </c>
      <c r="G147" s="51">
        <v>0.46199869999999998</v>
      </c>
      <c r="H147" s="235"/>
      <c r="I147" s="5" t="s">
        <v>43</v>
      </c>
      <c r="J147" s="5" t="s">
        <v>43</v>
      </c>
      <c r="K147" s="245"/>
      <c r="L147" s="19"/>
      <c r="M147" s="4"/>
    </row>
    <row r="148" spans="1:13" x14ac:dyDescent="0.2">
      <c r="A148" s="3"/>
      <c r="B148" s="219"/>
      <c r="C148" s="26" t="s">
        <v>104</v>
      </c>
      <c r="D148" s="58">
        <v>44957</v>
      </c>
      <c r="E148" s="58">
        <v>45309</v>
      </c>
      <c r="F148" s="53">
        <v>0.26050689999999999</v>
      </c>
      <c r="G148" s="53">
        <v>0.32059199999999999</v>
      </c>
      <c r="H148" s="235"/>
      <c r="I148" s="27" t="s">
        <v>43</v>
      </c>
      <c r="J148" s="27" t="s">
        <v>43</v>
      </c>
      <c r="K148" s="245"/>
      <c r="L148" s="19"/>
      <c r="M148" s="4"/>
    </row>
    <row r="149" spans="1:13" x14ac:dyDescent="0.2">
      <c r="A149" s="4"/>
      <c r="B149" s="241"/>
      <c r="C149" s="24" t="s">
        <v>114</v>
      </c>
      <c r="D149" s="60">
        <v>44032</v>
      </c>
      <c r="E149" s="60">
        <v>45306</v>
      </c>
      <c r="F149" s="25" t="s">
        <v>57</v>
      </c>
      <c r="G149" s="25" t="s">
        <v>57</v>
      </c>
      <c r="H149" s="236"/>
      <c r="I149" s="23" t="s">
        <v>57</v>
      </c>
      <c r="J149" s="23" t="s">
        <v>57</v>
      </c>
      <c r="K149" s="246"/>
      <c r="L149" s="19"/>
      <c r="M149" s="4"/>
    </row>
    <row r="150" spans="1:13" x14ac:dyDescent="0.2">
      <c r="A150" s="3"/>
      <c r="B150" s="242" t="s">
        <v>87</v>
      </c>
      <c r="C150" s="54" t="s">
        <v>9</v>
      </c>
      <c r="D150" s="61">
        <v>44213</v>
      </c>
      <c r="E150" s="61">
        <v>44865</v>
      </c>
      <c r="F150" s="56">
        <v>0.83989510000000001</v>
      </c>
      <c r="G150" s="56">
        <v>0.83309699999999998</v>
      </c>
      <c r="H150" s="234">
        <v>0.124</v>
      </c>
      <c r="I150" s="55" t="s">
        <v>43</v>
      </c>
      <c r="J150" s="55" t="s">
        <v>43</v>
      </c>
      <c r="K150" s="244">
        <v>0.50600000000000001</v>
      </c>
      <c r="L150" s="19"/>
      <c r="M150" s="4"/>
    </row>
    <row r="151" spans="1:13" x14ac:dyDescent="0.2">
      <c r="A151" s="3"/>
      <c r="B151" s="223"/>
      <c r="C151" s="17" t="s">
        <v>10</v>
      </c>
      <c r="D151" s="59">
        <v>44312</v>
      </c>
      <c r="E151" s="59">
        <v>44789</v>
      </c>
      <c r="F151" s="18">
        <v>0.41061750000000002</v>
      </c>
      <c r="G151" s="18">
        <v>0.50097610000000004</v>
      </c>
      <c r="H151" s="235"/>
      <c r="I151" s="5" t="s">
        <v>43</v>
      </c>
      <c r="J151" s="5" t="s">
        <v>43</v>
      </c>
      <c r="K151" s="247"/>
      <c r="L151" s="19"/>
      <c r="M151" s="4"/>
    </row>
    <row r="152" spans="1:13" x14ac:dyDescent="0.2">
      <c r="A152" s="3"/>
      <c r="B152" s="223"/>
      <c r="C152" s="17" t="s">
        <v>14</v>
      </c>
      <c r="D152" s="59">
        <v>44366</v>
      </c>
      <c r="E152" s="59">
        <v>44789</v>
      </c>
      <c r="F152" s="18">
        <v>0.35377259999999999</v>
      </c>
      <c r="G152" s="18">
        <v>0.22204869999999999</v>
      </c>
      <c r="H152" s="235"/>
      <c r="I152" s="5" t="s">
        <v>43</v>
      </c>
      <c r="J152" s="5" t="s">
        <v>43</v>
      </c>
      <c r="K152" s="247"/>
      <c r="L152" s="19"/>
      <c r="M152" s="4"/>
    </row>
    <row r="153" spans="1:13" x14ac:dyDescent="0.2">
      <c r="A153" s="3"/>
      <c r="B153" s="223"/>
      <c r="C153" s="17" t="s">
        <v>38</v>
      </c>
      <c r="D153" s="59">
        <v>44774</v>
      </c>
      <c r="E153" s="59">
        <v>45251</v>
      </c>
      <c r="F153" s="18">
        <v>0.41994920000000002</v>
      </c>
      <c r="G153" s="18">
        <v>0.51351740000000001</v>
      </c>
      <c r="H153" s="235"/>
      <c r="I153" s="5" t="s">
        <v>43</v>
      </c>
      <c r="J153" s="5" t="s">
        <v>43</v>
      </c>
      <c r="K153" s="247"/>
      <c r="L153" s="19"/>
      <c r="M153" s="4"/>
    </row>
    <row r="154" spans="1:13" ht="17" thickBot="1" x14ac:dyDescent="0.25">
      <c r="A154" s="4"/>
      <c r="B154" s="243"/>
      <c r="C154" s="21" t="s">
        <v>113</v>
      </c>
      <c r="D154" s="62">
        <v>44361</v>
      </c>
      <c r="E154" s="62">
        <v>45261</v>
      </c>
      <c r="F154" s="22" t="s">
        <v>57</v>
      </c>
      <c r="G154" s="22" t="s">
        <v>57</v>
      </c>
      <c r="H154" s="237"/>
      <c r="I154" s="31" t="s">
        <v>57</v>
      </c>
      <c r="J154" s="31" t="s">
        <v>57</v>
      </c>
      <c r="K154" s="248"/>
      <c r="L154" s="19"/>
      <c r="M154" s="4"/>
    </row>
    <row r="155" spans="1:13" x14ac:dyDescent="0.2">
      <c r="A155" s="4"/>
      <c r="B155" s="19"/>
      <c r="C155" s="19"/>
      <c r="D155" s="48"/>
      <c r="E155" s="48"/>
      <c r="F155" s="50"/>
      <c r="G155" s="50"/>
      <c r="H155" s="49"/>
      <c r="I155" s="49"/>
      <c r="J155" s="49"/>
      <c r="K155" s="49"/>
      <c r="L155" s="19"/>
      <c r="M155" s="4"/>
    </row>
    <row r="156" spans="1:13" x14ac:dyDescent="0.2">
      <c r="B156" s="33"/>
      <c r="D156" s="38"/>
      <c r="E156" s="38"/>
      <c r="F156" s="46"/>
      <c r="G156" s="46"/>
      <c r="H156" s="41"/>
      <c r="I156" s="41"/>
      <c r="J156" s="41"/>
      <c r="K156" s="41"/>
      <c r="L156" s="33"/>
    </row>
    <row r="157" spans="1:13" x14ac:dyDescent="0.2">
      <c r="B157" s="33"/>
      <c r="D157" s="38"/>
      <c r="E157" s="38"/>
      <c r="F157" s="46"/>
      <c r="G157" s="46"/>
      <c r="H157" s="41"/>
      <c r="I157" s="41"/>
      <c r="J157" s="41"/>
      <c r="K157" s="41"/>
      <c r="L157" s="33"/>
    </row>
    <row r="158" spans="1:13" x14ac:dyDescent="0.2">
      <c r="B158" s="33"/>
      <c r="D158" s="38"/>
      <c r="E158" s="38"/>
      <c r="F158" s="46"/>
      <c r="G158" s="46"/>
      <c r="H158" s="41"/>
      <c r="I158" s="41"/>
      <c r="J158" s="41"/>
      <c r="K158" s="41"/>
      <c r="L158" s="33"/>
    </row>
    <row r="159" spans="1:13" x14ac:dyDescent="0.2">
      <c r="B159" s="33"/>
      <c r="D159" s="38"/>
      <c r="E159" s="38"/>
      <c r="F159" s="46"/>
      <c r="G159" s="46"/>
      <c r="H159" s="41"/>
      <c r="I159" s="41"/>
      <c r="J159" s="41"/>
      <c r="K159" s="41"/>
      <c r="L159" s="33"/>
    </row>
    <row r="160" spans="1:13" x14ac:dyDescent="0.2">
      <c r="B160" s="33"/>
      <c r="D160" s="38"/>
      <c r="E160" s="38"/>
      <c r="F160" s="46"/>
      <c r="G160" s="46"/>
      <c r="H160" s="41"/>
      <c r="I160" s="41"/>
      <c r="J160" s="41"/>
      <c r="K160" s="41"/>
      <c r="L160" s="33"/>
    </row>
    <row r="161" spans="2:12" x14ac:dyDescent="0.2">
      <c r="B161" s="33"/>
      <c r="D161" s="38"/>
      <c r="E161" s="38"/>
      <c r="F161" s="46"/>
      <c r="G161" s="46"/>
      <c r="H161" s="41"/>
      <c r="I161" s="41"/>
      <c r="J161" s="41"/>
      <c r="K161" s="41"/>
      <c r="L161" s="33"/>
    </row>
    <row r="162" spans="2:12" x14ac:dyDescent="0.2">
      <c r="B162" s="33"/>
      <c r="D162" s="38"/>
      <c r="E162" s="38"/>
      <c r="F162" s="46"/>
      <c r="G162" s="46"/>
      <c r="H162" s="41"/>
      <c r="I162" s="41"/>
      <c r="J162" s="41"/>
      <c r="K162" s="41"/>
      <c r="L162" s="33"/>
    </row>
    <row r="163" spans="2:12" x14ac:dyDescent="0.2">
      <c r="B163" s="33"/>
      <c r="D163" s="38"/>
      <c r="E163" s="38"/>
      <c r="F163" s="46"/>
      <c r="G163" s="46"/>
      <c r="H163" s="41"/>
      <c r="I163" s="41"/>
      <c r="J163" s="41"/>
      <c r="K163" s="41"/>
      <c r="L163" s="33"/>
    </row>
    <row r="164" spans="2:12" x14ac:dyDescent="0.2">
      <c r="B164" s="33"/>
      <c r="D164" s="38"/>
      <c r="E164" s="38"/>
      <c r="F164" s="46"/>
      <c r="G164" s="46"/>
      <c r="H164" s="41"/>
      <c r="I164" s="41"/>
      <c r="J164" s="41"/>
      <c r="K164" s="41"/>
      <c r="L164" s="33"/>
    </row>
    <row r="165" spans="2:12" x14ac:dyDescent="0.2">
      <c r="B165" s="33"/>
      <c r="D165" s="38"/>
      <c r="E165" s="38"/>
      <c r="F165" s="46"/>
      <c r="G165" s="46"/>
      <c r="H165" s="41"/>
      <c r="I165" s="41"/>
      <c r="J165" s="41"/>
      <c r="K165" s="41"/>
      <c r="L165" s="33"/>
    </row>
    <row r="166" spans="2:12" x14ac:dyDescent="0.2">
      <c r="B166" s="33"/>
      <c r="D166" s="38"/>
      <c r="E166" s="38"/>
      <c r="F166" s="46"/>
      <c r="G166" s="46"/>
      <c r="H166" s="41"/>
      <c r="I166" s="41"/>
      <c r="J166" s="41"/>
      <c r="K166" s="41"/>
      <c r="L166" s="33"/>
    </row>
    <row r="167" spans="2:12" x14ac:dyDescent="0.2">
      <c r="B167" s="33"/>
      <c r="D167" s="38"/>
      <c r="E167" s="38"/>
      <c r="F167" s="46"/>
      <c r="G167" s="46"/>
      <c r="H167" s="41"/>
      <c r="I167" s="41"/>
      <c r="J167" s="41"/>
      <c r="K167" s="41"/>
      <c r="L167" s="33"/>
    </row>
    <row r="168" spans="2:12" x14ac:dyDescent="0.2">
      <c r="B168" s="33"/>
      <c r="D168" s="38"/>
      <c r="E168" s="38"/>
      <c r="F168" s="46"/>
      <c r="G168" s="46"/>
      <c r="H168" s="41"/>
      <c r="I168" s="41"/>
      <c r="J168" s="41"/>
      <c r="K168" s="41"/>
      <c r="L168" s="33"/>
    </row>
    <row r="169" spans="2:12" x14ac:dyDescent="0.2">
      <c r="B169" s="33"/>
      <c r="D169" s="38"/>
      <c r="E169" s="38"/>
      <c r="F169" s="46"/>
      <c r="G169" s="46"/>
      <c r="H169" s="41"/>
      <c r="I169" s="41"/>
      <c r="J169" s="41"/>
      <c r="K169" s="41"/>
      <c r="L169" s="33"/>
    </row>
    <row r="170" spans="2:12" x14ac:dyDescent="0.2">
      <c r="B170" s="33"/>
      <c r="D170" s="38"/>
      <c r="E170" s="38"/>
      <c r="F170" s="46"/>
      <c r="G170" s="46"/>
      <c r="H170" s="41"/>
      <c r="I170" s="41"/>
      <c r="J170" s="41"/>
      <c r="K170" s="41"/>
      <c r="L170" s="33"/>
    </row>
    <row r="171" spans="2:12" x14ac:dyDescent="0.2">
      <c r="B171" s="33"/>
      <c r="D171" s="38"/>
      <c r="E171" s="38"/>
      <c r="F171" s="46"/>
      <c r="G171" s="46"/>
      <c r="H171" s="41"/>
      <c r="I171" s="41"/>
      <c r="J171" s="41"/>
      <c r="K171" s="41"/>
      <c r="L171" s="33"/>
    </row>
    <row r="172" spans="2:12" x14ac:dyDescent="0.2">
      <c r="B172" s="33"/>
      <c r="D172" s="38"/>
      <c r="E172" s="38"/>
      <c r="F172" s="46"/>
      <c r="G172" s="46"/>
      <c r="H172" s="41"/>
      <c r="I172" s="41"/>
      <c r="J172" s="41"/>
      <c r="K172" s="41"/>
      <c r="L172" s="33"/>
    </row>
    <row r="173" spans="2:12" x14ac:dyDescent="0.2">
      <c r="B173" s="33"/>
      <c r="D173" s="38"/>
      <c r="E173" s="38"/>
      <c r="F173" s="46"/>
      <c r="G173" s="46"/>
      <c r="H173" s="41"/>
      <c r="I173" s="41"/>
      <c r="J173" s="41"/>
      <c r="K173" s="41"/>
      <c r="L173" s="33"/>
    </row>
    <row r="174" spans="2:12" x14ac:dyDescent="0.2">
      <c r="B174" s="33"/>
      <c r="D174" s="38"/>
      <c r="E174" s="38"/>
      <c r="F174" s="46"/>
      <c r="G174" s="46"/>
      <c r="H174" s="41"/>
      <c r="I174" s="41"/>
      <c r="J174" s="41"/>
      <c r="K174" s="41"/>
      <c r="L174" s="33"/>
    </row>
    <row r="175" spans="2:12" x14ac:dyDescent="0.2">
      <c r="B175" s="33"/>
      <c r="D175" s="38"/>
      <c r="E175" s="38"/>
      <c r="F175" s="46"/>
      <c r="G175" s="46"/>
      <c r="H175" s="41"/>
      <c r="I175" s="41"/>
      <c r="J175" s="41"/>
      <c r="K175" s="41"/>
      <c r="L175" s="33"/>
    </row>
    <row r="176" spans="2:12" x14ac:dyDescent="0.2">
      <c r="B176" s="33"/>
      <c r="D176" s="38"/>
      <c r="E176" s="38"/>
      <c r="F176" s="46"/>
      <c r="G176" s="46"/>
      <c r="H176" s="41"/>
      <c r="I176" s="41"/>
      <c r="J176" s="41"/>
      <c r="K176" s="41"/>
      <c r="L176" s="33"/>
    </row>
    <row r="177" spans="2:12" x14ac:dyDescent="0.2">
      <c r="B177" s="33"/>
      <c r="D177" s="38"/>
      <c r="E177" s="38"/>
      <c r="F177" s="46"/>
      <c r="G177" s="46"/>
      <c r="H177" s="41"/>
      <c r="I177" s="41"/>
      <c r="J177" s="41"/>
      <c r="K177" s="41"/>
      <c r="L177" s="33"/>
    </row>
    <row r="178" spans="2:12" x14ac:dyDescent="0.2">
      <c r="B178" s="33"/>
      <c r="D178" s="38"/>
      <c r="E178" s="38"/>
      <c r="F178" s="46"/>
      <c r="G178" s="46"/>
      <c r="H178" s="41"/>
      <c r="I178" s="41"/>
      <c r="J178" s="41"/>
      <c r="K178" s="41"/>
      <c r="L178" s="33"/>
    </row>
    <row r="179" spans="2:12" x14ac:dyDescent="0.2">
      <c r="B179" s="33"/>
      <c r="D179" s="38"/>
      <c r="E179" s="38"/>
      <c r="F179" s="46"/>
      <c r="G179" s="46"/>
      <c r="H179" s="41"/>
      <c r="I179" s="41"/>
      <c r="J179" s="41"/>
      <c r="K179" s="41"/>
      <c r="L179" s="33"/>
    </row>
    <row r="180" spans="2:12" x14ac:dyDescent="0.2">
      <c r="B180" s="33"/>
      <c r="D180" s="38"/>
      <c r="E180" s="38"/>
      <c r="F180" s="46"/>
      <c r="G180" s="46"/>
      <c r="H180" s="41"/>
      <c r="I180" s="41"/>
      <c r="J180" s="41"/>
      <c r="K180" s="41"/>
      <c r="L180" s="33"/>
    </row>
    <row r="181" spans="2:12" x14ac:dyDescent="0.2">
      <c r="B181" s="33"/>
      <c r="D181" s="38"/>
      <c r="E181" s="38"/>
      <c r="F181" s="46"/>
      <c r="G181" s="46"/>
      <c r="H181" s="41"/>
      <c r="I181" s="41"/>
      <c r="J181" s="41"/>
      <c r="K181" s="41"/>
      <c r="L181" s="33"/>
    </row>
    <row r="182" spans="2:12" x14ac:dyDescent="0.2">
      <c r="B182" s="33"/>
      <c r="D182" s="38"/>
      <c r="E182" s="38"/>
      <c r="F182" s="46"/>
      <c r="G182" s="46"/>
      <c r="H182" s="41"/>
      <c r="I182" s="41"/>
      <c r="J182" s="41"/>
      <c r="K182" s="41"/>
      <c r="L182" s="33"/>
    </row>
    <row r="183" spans="2:12" x14ac:dyDescent="0.2">
      <c r="B183" s="33"/>
      <c r="D183" s="38"/>
      <c r="E183" s="38"/>
      <c r="F183" s="46"/>
      <c r="G183" s="46"/>
      <c r="H183" s="41"/>
      <c r="I183" s="41"/>
      <c r="J183" s="41"/>
      <c r="K183" s="41"/>
      <c r="L183" s="33"/>
    </row>
    <row r="184" spans="2:12" x14ac:dyDescent="0.2">
      <c r="B184" s="33"/>
      <c r="D184" s="38"/>
      <c r="E184" s="38"/>
      <c r="F184" s="46"/>
      <c r="G184" s="46"/>
      <c r="H184" s="41"/>
      <c r="I184" s="41"/>
      <c r="J184" s="41"/>
      <c r="K184" s="41"/>
      <c r="L184" s="33"/>
    </row>
    <row r="185" spans="2:12" x14ac:dyDescent="0.2">
      <c r="B185" s="33"/>
      <c r="D185" s="38"/>
      <c r="E185" s="38"/>
      <c r="F185" s="46"/>
      <c r="G185" s="46"/>
      <c r="H185" s="41"/>
      <c r="I185" s="41"/>
      <c r="J185" s="41"/>
      <c r="K185" s="41"/>
      <c r="L185" s="33"/>
    </row>
    <row r="186" spans="2:12" x14ac:dyDescent="0.2">
      <c r="B186" s="33"/>
      <c r="D186" s="38"/>
      <c r="E186" s="38"/>
      <c r="F186" s="46"/>
      <c r="G186" s="46"/>
      <c r="H186" s="41"/>
      <c r="I186" s="41"/>
      <c r="J186" s="41"/>
      <c r="K186" s="41"/>
      <c r="L186" s="33"/>
    </row>
    <row r="187" spans="2:12" x14ac:dyDescent="0.2">
      <c r="B187" s="33"/>
      <c r="D187" s="38"/>
      <c r="E187" s="38"/>
      <c r="F187" s="46"/>
      <c r="G187" s="46"/>
      <c r="H187" s="41"/>
      <c r="I187" s="41"/>
      <c r="J187" s="41"/>
      <c r="K187" s="41"/>
      <c r="L187" s="33"/>
    </row>
    <row r="188" spans="2:12" x14ac:dyDescent="0.2">
      <c r="B188" s="33"/>
      <c r="D188" s="38"/>
      <c r="E188" s="38"/>
      <c r="F188" s="46"/>
      <c r="G188" s="46"/>
      <c r="H188" s="41"/>
      <c r="I188" s="41"/>
      <c r="J188" s="41"/>
      <c r="K188" s="41"/>
      <c r="L188" s="33"/>
    </row>
    <row r="189" spans="2:12" x14ac:dyDescent="0.2">
      <c r="B189" s="33"/>
      <c r="D189" s="38"/>
      <c r="E189" s="38"/>
      <c r="F189" s="46"/>
      <c r="G189" s="46"/>
      <c r="H189" s="41"/>
      <c r="I189" s="41"/>
      <c r="J189" s="41"/>
      <c r="K189" s="41"/>
      <c r="L189" s="33"/>
    </row>
    <row r="190" spans="2:12" x14ac:dyDescent="0.2">
      <c r="B190" s="33"/>
      <c r="D190" s="38"/>
      <c r="E190" s="38"/>
      <c r="F190" s="46"/>
      <c r="G190" s="46"/>
      <c r="H190" s="41"/>
      <c r="I190" s="41"/>
      <c r="J190" s="41"/>
      <c r="K190" s="41"/>
      <c r="L190" s="33"/>
    </row>
    <row r="191" spans="2:12" x14ac:dyDescent="0.2">
      <c r="B191" s="33"/>
      <c r="D191" s="38"/>
      <c r="E191" s="38"/>
      <c r="F191" s="46"/>
      <c r="G191" s="46"/>
      <c r="H191" s="41"/>
      <c r="I191" s="41"/>
      <c r="J191" s="41"/>
      <c r="K191" s="41"/>
      <c r="L191" s="33"/>
    </row>
    <row r="192" spans="2:12" x14ac:dyDescent="0.2">
      <c r="B192" s="33"/>
      <c r="D192" s="38"/>
      <c r="E192" s="38"/>
      <c r="F192" s="46"/>
      <c r="G192" s="46"/>
      <c r="H192" s="41"/>
      <c r="I192" s="41"/>
      <c r="J192" s="41"/>
      <c r="K192" s="41"/>
      <c r="L192" s="33"/>
    </row>
    <row r="193" spans="2:12" x14ac:dyDescent="0.2">
      <c r="B193" s="33"/>
      <c r="D193" s="38"/>
      <c r="E193" s="38"/>
      <c r="F193" s="46"/>
      <c r="G193" s="46"/>
      <c r="H193" s="41"/>
      <c r="I193" s="41"/>
      <c r="J193" s="41"/>
      <c r="K193" s="41"/>
      <c r="L193" s="33"/>
    </row>
    <row r="194" spans="2:12" x14ac:dyDescent="0.2">
      <c r="B194" s="33"/>
      <c r="D194" s="38"/>
      <c r="E194" s="38"/>
      <c r="F194" s="46"/>
      <c r="G194" s="46"/>
      <c r="H194" s="41"/>
      <c r="I194" s="41"/>
      <c r="J194" s="41"/>
      <c r="K194" s="41"/>
      <c r="L194" s="33"/>
    </row>
    <row r="195" spans="2:12" x14ac:dyDescent="0.2">
      <c r="B195" s="33"/>
      <c r="D195" s="38"/>
      <c r="E195" s="38"/>
      <c r="F195" s="46"/>
      <c r="G195" s="46"/>
      <c r="H195" s="41"/>
      <c r="I195" s="41"/>
      <c r="J195" s="41"/>
      <c r="K195" s="41"/>
      <c r="L195" s="33"/>
    </row>
    <row r="196" spans="2:12" x14ac:dyDescent="0.2">
      <c r="B196" s="33"/>
      <c r="D196" s="38"/>
      <c r="E196" s="38"/>
      <c r="F196" s="46"/>
      <c r="G196" s="46"/>
      <c r="H196" s="41"/>
      <c r="I196" s="41"/>
      <c r="J196" s="41"/>
      <c r="K196" s="41"/>
      <c r="L196" s="33"/>
    </row>
    <row r="197" spans="2:12" x14ac:dyDescent="0.2">
      <c r="B197" s="33"/>
      <c r="D197" s="38"/>
      <c r="E197" s="38"/>
      <c r="F197" s="46"/>
      <c r="G197" s="46"/>
      <c r="H197" s="41"/>
      <c r="I197" s="41"/>
      <c r="J197" s="41"/>
      <c r="K197" s="41"/>
      <c r="L197" s="33"/>
    </row>
    <row r="198" spans="2:12" x14ac:dyDescent="0.2">
      <c r="B198" s="33"/>
      <c r="D198" s="38"/>
      <c r="E198" s="38"/>
      <c r="F198" s="46"/>
      <c r="G198" s="46"/>
      <c r="H198" s="41"/>
      <c r="I198" s="41"/>
      <c r="J198" s="41"/>
      <c r="K198" s="41"/>
      <c r="L198" s="33"/>
    </row>
    <row r="199" spans="2:12" x14ac:dyDescent="0.2">
      <c r="B199" s="33"/>
      <c r="D199" s="38"/>
      <c r="E199" s="38"/>
      <c r="F199" s="46"/>
      <c r="G199" s="46"/>
      <c r="H199" s="41"/>
      <c r="I199" s="41"/>
      <c r="J199" s="41"/>
      <c r="K199" s="41"/>
      <c r="L199" s="33"/>
    </row>
    <row r="200" spans="2:12" x14ac:dyDescent="0.2">
      <c r="B200" s="33"/>
      <c r="D200" s="38"/>
      <c r="E200" s="38"/>
      <c r="F200" s="46"/>
      <c r="G200" s="46"/>
      <c r="H200" s="41"/>
      <c r="I200" s="41"/>
      <c r="J200" s="41"/>
      <c r="K200" s="41"/>
      <c r="L200" s="33"/>
    </row>
    <row r="201" spans="2:12" x14ac:dyDescent="0.2">
      <c r="B201" s="33"/>
      <c r="D201" s="38"/>
      <c r="E201" s="38"/>
      <c r="F201" s="46"/>
      <c r="G201" s="46"/>
      <c r="H201" s="41"/>
      <c r="I201" s="41"/>
      <c r="J201" s="41"/>
      <c r="K201" s="41"/>
      <c r="L201" s="33"/>
    </row>
    <row r="202" spans="2:12" x14ac:dyDescent="0.2">
      <c r="B202" s="33"/>
      <c r="D202" s="38"/>
      <c r="E202" s="38"/>
      <c r="F202" s="46"/>
      <c r="G202" s="46"/>
      <c r="H202" s="41"/>
      <c r="I202" s="41"/>
      <c r="J202" s="41"/>
      <c r="K202" s="41"/>
      <c r="L202" s="33"/>
    </row>
    <row r="203" spans="2:12" x14ac:dyDescent="0.2">
      <c r="B203" s="33"/>
      <c r="D203" s="38"/>
      <c r="E203" s="38"/>
      <c r="F203" s="46"/>
      <c r="G203" s="46"/>
      <c r="H203" s="41"/>
      <c r="I203" s="41"/>
      <c r="J203" s="41"/>
      <c r="K203" s="41"/>
      <c r="L203" s="33"/>
    </row>
    <row r="204" spans="2:12" x14ac:dyDescent="0.2">
      <c r="B204" s="33"/>
      <c r="D204" s="38"/>
      <c r="E204" s="38"/>
      <c r="F204" s="46"/>
      <c r="G204" s="46"/>
      <c r="H204" s="41"/>
      <c r="I204" s="41"/>
      <c r="J204" s="41"/>
      <c r="K204" s="41"/>
      <c r="L204" s="33"/>
    </row>
    <row r="205" spans="2:12" x14ac:dyDescent="0.2">
      <c r="B205" s="33"/>
      <c r="D205" s="38"/>
      <c r="E205" s="38"/>
      <c r="F205" s="46"/>
      <c r="G205" s="46"/>
      <c r="H205" s="41"/>
      <c r="I205" s="41"/>
      <c r="J205" s="41"/>
      <c r="K205" s="41"/>
      <c r="L205" s="33"/>
    </row>
    <row r="206" spans="2:12" x14ac:dyDescent="0.2">
      <c r="B206" s="33"/>
      <c r="D206" s="38"/>
      <c r="E206" s="38"/>
      <c r="F206" s="46"/>
      <c r="G206" s="46"/>
      <c r="H206" s="41"/>
      <c r="I206" s="41"/>
      <c r="J206" s="41"/>
      <c r="K206" s="41"/>
      <c r="L206" s="33"/>
    </row>
    <row r="207" spans="2:12" x14ac:dyDescent="0.2">
      <c r="B207" s="33"/>
      <c r="D207" s="38"/>
      <c r="E207" s="38"/>
      <c r="F207" s="46"/>
      <c r="G207" s="46"/>
      <c r="H207" s="41"/>
      <c r="I207" s="41"/>
      <c r="J207" s="41"/>
      <c r="K207" s="41"/>
      <c r="L207" s="33"/>
    </row>
    <row r="208" spans="2:12" x14ac:dyDescent="0.2">
      <c r="B208" s="33"/>
      <c r="D208" s="38"/>
      <c r="E208" s="38"/>
      <c r="F208" s="46"/>
      <c r="G208" s="46"/>
      <c r="H208" s="41"/>
      <c r="I208" s="41"/>
      <c r="J208" s="41"/>
      <c r="K208" s="41"/>
      <c r="L208" s="33"/>
    </row>
    <row r="209" spans="2:12" x14ac:dyDescent="0.2">
      <c r="B209" s="33"/>
      <c r="D209" s="38"/>
      <c r="E209" s="38"/>
      <c r="F209" s="46"/>
      <c r="G209" s="46"/>
      <c r="H209" s="41"/>
      <c r="I209" s="41"/>
      <c r="J209" s="41"/>
      <c r="K209" s="41"/>
      <c r="L209" s="33"/>
    </row>
    <row r="210" spans="2:12" x14ac:dyDescent="0.2">
      <c r="B210" s="33"/>
      <c r="D210" s="38"/>
      <c r="E210" s="38"/>
      <c r="F210" s="46"/>
      <c r="G210" s="46"/>
      <c r="H210" s="41"/>
      <c r="I210" s="41"/>
      <c r="J210" s="41"/>
      <c r="K210" s="41"/>
      <c r="L210" s="33"/>
    </row>
    <row r="211" spans="2:12" x14ac:dyDescent="0.2">
      <c r="B211" s="33"/>
      <c r="D211" s="38"/>
      <c r="E211" s="38"/>
      <c r="F211" s="46"/>
      <c r="G211" s="46"/>
      <c r="H211" s="41"/>
      <c r="I211" s="41"/>
      <c r="J211" s="41"/>
      <c r="K211" s="41"/>
      <c r="L211" s="33"/>
    </row>
    <row r="212" spans="2:12" x14ac:dyDescent="0.2">
      <c r="B212" s="33"/>
      <c r="D212" s="38"/>
      <c r="E212" s="38"/>
      <c r="F212" s="46"/>
      <c r="G212" s="46"/>
      <c r="H212" s="41"/>
      <c r="I212" s="41"/>
      <c r="J212" s="41"/>
      <c r="K212" s="41"/>
      <c r="L212" s="33"/>
    </row>
    <row r="213" spans="2:12" x14ac:dyDescent="0.2">
      <c r="B213" s="33"/>
      <c r="D213" s="38"/>
      <c r="E213" s="38"/>
      <c r="F213" s="46"/>
      <c r="G213" s="46"/>
      <c r="H213" s="41"/>
      <c r="I213" s="41"/>
      <c r="J213" s="41"/>
      <c r="K213" s="41"/>
      <c r="L213" s="33"/>
    </row>
    <row r="214" spans="2:12" x14ac:dyDescent="0.2">
      <c r="B214" s="33"/>
      <c r="D214" s="38"/>
      <c r="E214" s="38"/>
      <c r="F214" s="46"/>
      <c r="G214" s="46"/>
      <c r="H214" s="41"/>
      <c r="I214" s="41"/>
      <c r="J214" s="41"/>
      <c r="K214" s="41"/>
      <c r="L214" s="33"/>
    </row>
    <row r="215" spans="2:12" x14ac:dyDescent="0.2">
      <c r="B215" s="33"/>
      <c r="D215" s="38"/>
      <c r="E215" s="38"/>
      <c r="F215" s="46"/>
      <c r="G215" s="46"/>
      <c r="H215" s="41"/>
      <c r="I215" s="41"/>
      <c r="J215" s="41"/>
      <c r="K215" s="41"/>
      <c r="L215" s="33"/>
    </row>
    <row r="216" spans="2:12" x14ac:dyDescent="0.2">
      <c r="B216" s="33"/>
      <c r="D216" s="38"/>
      <c r="E216" s="38"/>
      <c r="F216" s="46"/>
      <c r="G216" s="46"/>
      <c r="H216" s="41"/>
      <c r="I216" s="41"/>
      <c r="J216" s="41"/>
      <c r="K216" s="41"/>
      <c r="L216" s="33"/>
    </row>
    <row r="217" spans="2:12" x14ac:dyDescent="0.2">
      <c r="B217" s="33"/>
      <c r="D217" s="38"/>
      <c r="E217" s="38"/>
      <c r="F217" s="46"/>
      <c r="G217" s="46"/>
      <c r="H217" s="41"/>
      <c r="I217" s="41"/>
      <c r="J217" s="41"/>
      <c r="K217" s="41"/>
      <c r="L217" s="33"/>
    </row>
    <row r="218" spans="2:12" x14ac:dyDescent="0.2">
      <c r="B218" s="33"/>
      <c r="D218" s="38"/>
      <c r="E218" s="38"/>
      <c r="F218" s="46"/>
      <c r="G218" s="46"/>
      <c r="H218" s="41"/>
      <c r="I218" s="41"/>
      <c r="J218" s="41"/>
      <c r="K218" s="41"/>
      <c r="L218" s="33"/>
    </row>
    <row r="219" spans="2:12" x14ac:dyDescent="0.2">
      <c r="B219" s="33"/>
      <c r="D219" s="38"/>
      <c r="E219" s="38"/>
      <c r="F219" s="46"/>
      <c r="G219" s="46"/>
      <c r="H219" s="41"/>
      <c r="I219" s="41"/>
      <c r="J219" s="41"/>
      <c r="K219" s="41"/>
      <c r="L219" s="33"/>
    </row>
    <row r="220" spans="2:12" x14ac:dyDescent="0.2">
      <c r="B220" s="33"/>
      <c r="D220" s="38"/>
      <c r="E220" s="38"/>
      <c r="F220" s="46"/>
      <c r="G220" s="46"/>
      <c r="H220" s="41"/>
      <c r="I220" s="41"/>
      <c r="J220" s="41"/>
      <c r="K220" s="41"/>
      <c r="L220" s="33"/>
    </row>
    <row r="221" spans="2:12" x14ac:dyDescent="0.2">
      <c r="B221" s="33"/>
      <c r="D221" s="38"/>
      <c r="E221" s="38"/>
      <c r="F221" s="46"/>
      <c r="G221" s="46"/>
      <c r="H221" s="41"/>
      <c r="I221" s="41"/>
      <c r="J221" s="41"/>
      <c r="K221" s="41"/>
      <c r="L221" s="33"/>
    </row>
    <row r="222" spans="2:12" x14ac:dyDescent="0.2">
      <c r="B222" s="33"/>
      <c r="D222" s="38"/>
      <c r="E222" s="38"/>
      <c r="F222" s="46"/>
      <c r="G222" s="46"/>
      <c r="H222" s="41"/>
      <c r="I222" s="41"/>
      <c r="J222" s="41"/>
      <c r="K222" s="41"/>
      <c r="L222" s="33"/>
    </row>
    <row r="223" spans="2:12" x14ac:dyDescent="0.2">
      <c r="B223" s="33"/>
      <c r="D223" s="38"/>
      <c r="E223" s="38"/>
      <c r="F223" s="46"/>
      <c r="G223" s="46"/>
      <c r="H223" s="41"/>
      <c r="I223" s="41"/>
      <c r="J223" s="41"/>
      <c r="K223" s="41"/>
      <c r="L223" s="33"/>
    </row>
    <row r="224" spans="2:12" x14ac:dyDescent="0.2">
      <c r="B224" s="33"/>
      <c r="D224" s="38"/>
      <c r="E224" s="38"/>
      <c r="F224" s="46"/>
      <c r="G224" s="46"/>
      <c r="H224" s="41"/>
      <c r="I224" s="41"/>
      <c r="J224" s="41"/>
      <c r="K224" s="41"/>
      <c r="L224" s="33"/>
    </row>
    <row r="225" spans="2:12" x14ac:dyDescent="0.2">
      <c r="B225" s="33"/>
      <c r="D225" s="38"/>
      <c r="E225" s="38"/>
      <c r="F225" s="46"/>
      <c r="G225" s="46"/>
      <c r="H225" s="41"/>
      <c r="I225" s="41"/>
      <c r="J225" s="41"/>
      <c r="K225" s="41"/>
      <c r="L225" s="33"/>
    </row>
    <row r="226" spans="2:12" x14ac:dyDescent="0.2">
      <c r="B226" s="33"/>
      <c r="D226" s="38"/>
      <c r="E226" s="38"/>
      <c r="F226" s="46"/>
      <c r="G226" s="46"/>
      <c r="H226" s="41"/>
      <c r="I226" s="41"/>
      <c r="J226" s="41"/>
      <c r="K226" s="41"/>
      <c r="L226" s="33"/>
    </row>
    <row r="227" spans="2:12" x14ac:dyDescent="0.2">
      <c r="B227" s="33"/>
      <c r="D227" s="38"/>
      <c r="E227" s="38"/>
      <c r="F227" s="46"/>
      <c r="G227" s="46"/>
      <c r="H227" s="41"/>
      <c r="I227" s="41"/>
      <c r="J227" s="41"/>
      <c r="K227" s="41"/>
      <c r="L227" s="33"/>
    </row>
    <row r="228" spans="2:12" x14ac:dyDescent="0.2">
      <c r="B228" s="33"/>
      <c r="D228" s="38"/>
      <c r="E228" s="38"/>
      <c r="F228" s="46"/>
      <c r="G228" s="46"/>
      <c r="H228" s="41"/>
      <c r="I228" s="41"/>
      <c r="J228" s="41"/>
      <c r="K228" s="41"/>
      <c r="L228" s="33"/>
    </row>
    <row r="229" spans="2:12" x14ac:dyDescent="0.2">
      <c r="B229" s="33"/>
      <c r="D229" s="38"/>
      <c r="E229" s="38"/>
      <c r="F229" s="46"/>
      <c r="G229" s="46"/>
      <c r="H229" s="41"/>
      <c r="I229" s="41"/>
      <c r="J229" s="41"/>
      <c r="K229" s="41"/>
      <c r="L229" s="33"/>
    </row>
    <row r="230" spans="2:12" x14ac:dyDescent="0.2">
      <c r="B230" s="33"/>
      <c r="D230" s="38"/>
      <c r="E230" s="38"/>
      <c r="F230" s="46"/>
      <c r="G230" s="46"/>
      <c r="H230" s="41"/>
      <c r="I230" s="41"/>
      <c r="J230" s="41"/>
      <c r="K230" s="41"/>
      <c r="L230" s="33"/>
    </row>
    <row r="231" spans="2:12" x14ac:dyDescent="0.2">
      <c r="B231" s="33"/>
      <c r="D231" s="38"/>
      <c r="E231" s="38"/>
      <c r="F231" s="46"/>
      <c r="G231" s="46"/>
      <c r="H231" s="41"/>
      <c r="I231" s="41"/>
      <c r="J231" s="41"/>
      <c r="K231" s="41"/>
      <c r="L231" s="33"/>
    </row>
    <row r="232" spans="2:12" x14ac:dyDescent="0.2">
      <c r="B232" s="33"/>
      <c r="D232" s="38"/>
      <c r="E232" s="38"/>
      <c r="F232" s="46"/>
      <c r="G232" s="46"/>
      <c r="H232" s="41"/>
      <c r="I232" s="41"/>
      <c r="J232" s="41"/>
      <c r="K232" s="41"/>
      <c r="L232" s="33"/>
    </row>
    <row r="233" spans="2:12" x14ac:dyDescent="0.2">
      <c r="B233" s="33"/>
      <c r="D233" s="38"/>
      <c r="E233" s="38"/>
      <c r="F233" s="46"/>
      <c r="G233" s="46"/>
      <c r="H233" s="41"/>
      <c r="I233" s="41"/>
      <c r="J233" s="41"/>
      <c r="K233" s="41"/>
      <c r="L233" s="33"/>
    </row>
    <row r="234" spans="2:12" x14ac:dyDescent="0.2">
      <c r="B234" s="33"/>
      <c r="D234" s="38"/>
      <c r="E234" s="38"/>
      <c r="F234" s="46"/>
      <c r="G234" s="46"/>
      <c r="H234" s="41"/>
      <c r="I234" s="41"/>
      <c r="J234" s="41"/>
      <c r="K234" s="41"/>
      <c r="L234" s="33"/>
    </row>
    <row r="235" spans="2:12" x14ac:dyDescent="0.2">
      <c r="B235" s="33"/>
      <c r="D235" s="38"/>
      <c r="E235" s="38"/>
      <c r="F235" s="46"/>
      <c r="G235" s="46"/>
      <c r="H235" s="41"/>
      <c r="I235" s="41"/>
      <c r="J235" s="41"/>
      <c r="K235" s="41"/>
      <c r="L235" s="33"/>
    </row>
    <row r="236" spans="2:12" x14ac:dyDescent="0.2">
      <c r="B236" s="33"/>
      <c r="D236" s="38"/>
      <c r="E236" s="38"/>
      <c r="F236" s="46"/>
      <c r="G236" s="46"/>
      <c r="H236" s="41"/>
      <c r="I236" s="41"/>
      <c r="J236" s="41"/>
      <c r="K236" s="41"/>
      <c r="L236" s="33"/>
    </row>
    <row r="237" spans="2:12" x14ac:dyDescent="0.2">
      <c r="B237" s="33"/>
      <c r="D237" s="38"/>
      <c r="E237" s="38"/>
      <c r="F237" s="46"/>
      <c r="G237" s="46"/>
      <c r="H237" s="41"/>
      <c r="I237" s="41"/>
      <c r="J237" s="41"/>
      <c r="K237" s="41"/>
      <c r="L237" s="33"/>
    </row>
    <row r="238" spans="2:12" x14ac:dyDescent="0.2">
      <c r="B238" s="33"/>
      <c r="D238" s="38"/>
      <c r="E238" s="38"/>
      <c r="F238" s="46"/>
      <c r="G238" s="46"/>
      <c r="H238" s="41"/>
      <c r="I238" s="41"/>
      <c r="J238" s="41"/>
      <c r="K238" s="41"/>
      <c r="L238" s="33"/>
    </row>
    <row r="239" spans="2:12" x14ac:dyDescent="0.2">
      <c r="B239" s="33"/>
      <c r="D239" s="38"/>
      <c r="E239" s="38"/>
      <c r="F239" s="46"/>
      <c r="G239" s="46"/>
      <c r="H239" s="41"/>
      <c r="I239" s="41"/>
      <c r="J239" s="41"/>
      <c r="K239" s="41"/>
      <c r="L239" s="33"/>
    </row>
    <row r="240" spans="2:12" x14ac:dyDescent="0.2">
      <c r="B240" s="33"/>
      <c r="D240" s="38"/>
      <c r="E240" s="38"/>
      <c r="F240" s="46"/>
      <c r="G240" s="46"/>
      <c r="H240" s="41"/>
      <c r="I240" s="41"/>
      <c r="J240" s="41"/>
      <c r="K240" s="41"/>
      <c r="L240" s="33"/>
    </row>
    <row r="241" spans="2:12" x14ac:dyDescent="0.2">
      <c r="B241" s="33"/>
      <c r="D241" s="38"/>
      <c r="E241" s="38"/>
      <c r="F241" s="46"/>
      <c r="G241" s="46"/>
      <c r="H241" s="41"/>
      <c r="I241" s="41"/>
      <c r="J241" s="41"/>
      <c r="K241" s="41"/>
      <c r="L241" s="33"/>
    </row>
    <row r="242" spans="2:12" x14ac:dyDescent="0.2">
      <c r="B242" s="33"/>
      <c r="D242" s="38"/>
      <c r="E242" s="38"/>
      <c r="F242" s="46"/>
      <c r="G242" s="46"/>
      <c r="H242" s="41"/>
      <c r="I242" s="41"/>
      <c r="J242" s="41"/>
      <c r="K242" s="41"/>
      <c r="L242" s="33"/>
    </row>
    <row r="243" spans="2:12" x14ac:dyDescent="0.2">
      <c r="B243" s="33"/>
      <c r="D243" s="38"/>
      <c r="E243" s="38"/>
      <c r="F243" s="46"/>
      <c r="G243" s="46"/>
      <c r="H243" s="41"/>
      <c r="I243" s="41"/>
      <c r="J243" s="41"/>
      <c r="K243" s="41"/>
      <c r="L243" s="33"/>
    </row>
    <row r="244" spans="2:12" x14ac:dyDescent="0.2">
      <c r="B244" s="33"/>
      <c r="D244" s="38"/>
      <c r="E244" s="38"/>
      <c r="F244" s="46"/>
      <c r="G244" s="46"/>
      <c r="H244" s="41"/>
      <c r="I244" s="41"/>
      <c r="J244" s="41"/>
      <c r="K244" s="41"/>
      <c r="L244" s="33"/>
    </row>
    <row r="245" spans="2:12" x14ac:dyDescent="0.2">
      <c r="B245" s="33"/>
      <c r="D245" s="38"/>
      <c r="E245" s="38"/>
      <c r="F245" s="46"/>
      <c r="G245" s="46"/>
      <c r="H245" s="41"/>
      <c r="I245" s="41"/>
      <c r="J245" s="41"/>
      <c r="K245" s="41"/>
      <c r="L245" s="33"/>
    </row>
    <row r="246" spans="2:12" x14ac:dyDescent="0.2">
      <c r="B246" s="33"/>
      <c r="D246" s="38"/>
      <c r="E246" s="38"/>
      <c r="F246" s="46"/>
      <c r="G246" s="46"/>
      <c r="H246" s="41"/>
      <c r="I246" s="41"/>
      <c r="J246" s="41"/>
      <c r="K246" s="41"/>
      <c r="L246" s="33"/>
    </row>
    <row r="247" spans="2:12" x14ac:dyDescent="0.2">
      <c r="B247" s="33"/>
      <c r="D247" s="38"/>
      <c r="E247" s="38"/>
      <c r="F247" s="46"/>
      <c r="G247" s="46"/>
      <c r="H247" s="41"/>
      <c r="I247" s="41"/>
      <c r="J247" s="41"/>
      <c r="K247" s="41"/>
      <c r="L247" s="33"/>
    </row>
    <row r="248" spans="2:12" x14ac:dyDescent="0.2">
      <c r="B248" s="33"/>
      <c r="D248" s="38"/>
      <c r="E248" s="38"/>
      <c r="F248" s="46"/>
      <c r="G248" s="46"/>
      <c r="H248" s="41"/>
      <c r="I248" s="41"/>
      <c r="J248" s="41"/>
      <c r="K248" s="41"/>
      <c r="L248" s="33"/>
    </row>
    <row r="249" spans="2:12" x14ac:dyDescent="0.2">
      <c r="B249" s="33"/>
      <c r="D249" s="38"/>
      <c r="E249" s="38"/>
      <c r="F249" s="46"/>
      <c r="G249" s="46"/>
      <c r="H249" s="41"/>
      <c r="I249" s="41"/>
      <c r="J249" s="41"/>
      <c r="K249" s="41"/>
      <c r="L249" s="33"/>
    </row>
    <row r="250" spans="2:12" x14ac:dyDescent="0.2">
      <c r="B250" s="33"/>
      <c r="D250" s="38"/>
      <c r="E250" s="38"/>
      <c r="F250" s="46"/>
      <c r="G250" s="46"/>
      <c r="H250" s="41"/>
      <c r="I250" s="41"/>
      <c r="J250" s="41"/>
      <c r="K250" s="41"/>
      <c r="L250" s="33"/>
    </row>
    <row r="251" spans="2:12" x14ac:dyDescent="0.2">
      <c r="B251" s="33"/>
      <c r="D251" s="38"/>
      <c r="E251" s="38"/>
      <c r="F251" s="46"/>
      <c r="G251" s="46"/>
      <c r="H251" s="41"/>
      <c r="I251" s="41"/>
      <c r="J251" s="41"/>
      <c r="K251" s="41"/>
      <c r="L251" s="33"/>
    </row>
    <row r="252" spans="2:12" x14ac:dyDescent="0.2">
      <c r="B252" s="33"/>
      <c r="D252" s="38"/>
      <c r="E252" s="38"/>
      <c r="F252" s="46"/>
      <c r="G252" s="46"/>
      <c r="H252" s="41"/>
      <c r="I252" s="41"/>
      <c r="J252" s="41"/>
      <c r="K252" s="41"/>
      <c r="L252" s="33"/>
    </row>
    <row r="253" spans="2:12" x14ac:dyDescent="0.2">
      <c r="B253" s="33"/>
      <c r="D253" s="38"/>
      <c r="E253" s="38"/>
      <c r="F253" s="46"/>
      <c r="G253" s="46"/>
      <c r="H253" s="41"/>
      <c r="I253" s="41"/>
      <c r="J253" s="41"/>
      <c r="K253" s="41"/>
      <c r="L253" s="33"/>
    </row>
    <row r="254" spans="2:12" x14ac:dyDescent="0.2">
      <c r="B254" s="33"/>
      <c r="D254" s="38"/>
      <c r="E254" s="38"/>
      <c r="F254" s="46"/>
      <c r="G254" s="46"/>
      <c r="H254" s="41"/>
      <c r="I254" s="41"/>
      <c r="J254" s="41"/>
      <c r="K254" s="41"/>
      <c r="L254" s="33"/>
    </row>
    <row r="255" spans="2:12" x14ac:dyDescent="0.2">
      <c r="B255" s="33"/>
      <c r="D255" s="38"/>
      <c r="E255" s="38"/>
      <c r="F255" s="46"/>
      <c r="G255" s="46"/>
      <c r="H255" s="41"/>
      <c r="I255" s="41"/>
      <c r="J255" s="41"/>
      <c r="K255" s="41"/>
      <c r="L255" s="33"/>
    </row>
    <row r="256" spans="2:12" x14ac:dyDescent="0.2">
      <c r="B256" s="33"/>
      <c r="D256" s="38"/>
      <c r="E256" s="38"/>
      <c r="F256" s="46"/>
      <c r="G256" s="46"/>
      <c r="H256" s="41"/>
      <c r="I256" s="41"/>
      <c r="J256" s="41"/>
      <c r="K256" s="41"/>
      <c r="L256" s="33"/>
    </row>
    <row r="257" spans="2:12" x14ac:dyDescent="0.2">
      <c r="B257" s="33"/>
      <c r="D257" s="38"/>
      <c r="E257" s="38"/>
      <c r="F257" s="46"/>
      <c r="G257" s="46"/>
      <c r="H257" s="41"/>
      <c r="I257" s="41"/>
      <c r="J257" s="41"/>
      <c r="K257" s="41"/>
      <c r="L257" s="33"/>
    </row>
    <row r="258" spans="2:12" x14ac:dyDescent="0.2">
      <c r="B258" s="33"/>
      <c r="D258" s="38"/>
      <c r="E258" s="38"/>
      <c r="F258" s="46"/>
      <c r="G258" s="46"/>
      <c r="H258" s="41"/>
      <c r="I258" s="41"/>
      <c r="J258" s="41"/>
      <c r="K258" s="41"/>
      <c r="L258" s="33"/>
    </row>
    <row r="259" spans="2:12" x14ac:dyDescent="0.2">
      <c r="B259" s="33"/>
      <c r="D259" s="38"/>
      <c r="E259" s="38"/>
      <c r="F259" s="46"/>
      <c r="G259" s="46"/>
      <c r="H259" s="41"/>
      <c r="I259" s="41"/>
      <c r="J259" s="41"/>
      <c r="K259" s="41"/>
      <c r="L259" s="33"/>
    </row>
    <row r="260" spans="2:12" x14ac:dyDescent="0.2">
      <c r="B260" s="33"/>
      <c r="D260" s="38"/>
      <c r="E260" s="38"/>
      <c r="F260" s="46"/>
      <c r="G260" s="46"/>
      <c r="H260" s="41"/>
      <c r="I260" s="41"/>
      <c r="J260" s="41"/>
      <c r="K260" s="41"/>
      <c r="L260" s="33"/>
    </row>
    <row r="261" spans="2:12" x14ac:dyDescent="0.2">
      <c r="B261" s="33"/>
      <c r="D261" s="38"/>
      <c r="E261" s="38"/>
      <c r="F261" s="46"/>
      <c r="G261" s="46"/>
      <c r="H261" s="41"/>
      <c r="I261" s="41"/>
      <c r="J261" s="41"/>
      <c r="K261" s="41"/>
      <c r="L261" s="33"/>
    </row>
    <row r="262" spans="2:12" x14ac:dyDescent="0.2">
      <c r="B262" s="33"/>
      <c r="D262" s="38"/>
      <c r="E262" s="38"/>
      <c r="F262" s="46"/>
      <c r="G262" s="46"/>
      <c r="H262" s="41"/>
      <c r="I262" s="41"/>
      <c r="J262" s="41"/>
      <c r="K262" s="41"/>
      <c r="L262" s="33"/>
    </row>
    <row r="263" spans="2:12" x14ac:dyDescent="0.2">
      <c r="B263" s="33"/>
      <c r="D263" s="38"/>
      <c r="E263" s="38"/>
      <c r="F263" s="46"/>
      <c r="G263" s="46"/>
      <c r="H263" s="41"/>
      <c r="I263" s="41"/>
      <c r="J263" s="41"/>
      <c r="K263" s="41"/>
      <c r="L263" s="33"/>
    </row>
    <row r="264" spans="2:12" x14ac:dyDescent="0.2">
      <c r="B264" s="33"/>
      <c r="D264" s="38"/>
      <c r="E264" s="38"/>
      <c r="F264" s="46"/>
      <c r="G264" s="46"/>
      <c r="H264" s="41"/>
      <c r="I264" s="41"/>
      <c r="J264" s="41"/>
      <c r="K264" s="41"/>
      <c r="L264" s="33"/>
    </row>
    <row r="265" spans="2:12" x14ac:dyDescent="0.2">
      <c r="B265" s="33"/>
      <c r="D265" s="38"/>
      <c r="E265" s="38"/>
      <c r="F265" s="46"/>
      <c r="G265" s="46"/>
      <c r="H265" s="41"/>
      <c r="I265" s="41"/>
      <c r="J265" s="41"/>
      <c r="K265" s="41"/>
      <c r="L265" s="33"/>
    </row>
    <row r="266" spans="2:12" x14ac:dyDescent="0.2">
      <c r="B266" s="33"/>
      <c r="D266" s="38"/>
      <c r="E266" s="38"/>
      <c r="F266" s="46"/>
      <c r="G266" s="46"/>
      <c r="H266" s="41"/>
      <c r="I266" s="41"/>
      <c r="J266" s="41"/>
      <c r="K266" s="41"/>
      <c r="L266" s="33"/>
    </row>
    <row r="267" spans="2:12" x14ac:dyDescent="0.2">
      <c r="B267" s="33"/>
      <c r="D267" s="38"/>
      <c r="E267" s="38"/>
      <c r="F267" s="46"/>
      <c r="G267" s="46"/>
      <c r="H267" s="41"/>
      <c r="I267" s="41"/>
      <c r="J267" s="41"/>
      <c r="K267" s="41"/>
      <c r="L267" s="33"/>
    </row>
    <row r="268" spans="2:12" x14ac:dyDescent="0.2">
      <c r="B268" s="33"/>
      <c r="D268" s="38"/>
      <c r="E268" s="38"/>
      <c r="F268" s="46"/>
      <c r="G268" s="46"/>
      <c r="H268" s="41"/>
      <c r="I268" s="41"/>
      <c r="J268" s="41"/>
      <c r="K268" s="41"/>
      <c r="L268" s="33"/>
    </row>
    <row r="269" spans="2:12" x14ac:dyDescent="0.2">
      <c r="B269" s="33"/>
      <c r="D269" s="38"/>
      <c r="E269" s="38"/>
      <c r="F269" s="46"/>
      <c r="G269" s="46"/>
      <c r="H269" s="41"/>
      <c r="I269" s="41"/>
      <c r="J269" s="41"/>
      <c r="K269" s="41"/>
      <c r="L269" s="33"/>
    </row>
    <row r="270" spans="2:12" x14ac:dyDescent="0.2">
      <c r="B270" s="33"/>
      <c r="D270" s="38"/>
      <c r="E270" s="38"/>
      <c r="F270" s="46"/>
      <c r="G270" s="46"/>
      <c r="H270" s="41"/>
      <c r="I270" s="41"/>
      <c r="J270" s="41"/>
      <c r="K270" s="41"/>
      <c r="L270" s="33"/>
    </row>
    <row r="271" spans="2:12" x14ac:dyDescent="0.2">
      <c r="B271" s="33"/>
      <c r="D271" s="38"/>
      <c r="E271" s="38"/>
      <c r="F271" s="46"/>
      <c r="G271" s="46"/>
      <c r="H271" s="41"/>
      <c r="I271" s="41"/>
      <c r="J271" s="41"/>
      <c r="K271" s="41"/>
      <c r="L271" s="33"/>
    </row>
    <row r="272" spans="2:12" x14ac:dyDescent="0.2">
      <c r="B272" s="33"/>
      <c r="D272" s="38"/>
      <c r="E272" s="38"/>
      <c r="F272" s="46"/>
      <c r="G272" s="46"/>
      <c r="H272" s="41"/>
      <c r="I272" s="41"/>
      <c r="J272" s="41"/>
      <c r="K272" s="41"/>
      <c r="L272" s="33"/>
    </row>
    <row r="273" spans="2:12" x14ac:dyDescent="0.2">
      <c r="B273" s="33"/>
      <c r="D273" s="38"/>
      <c r="E273" s="38"/>
      <c r="F273" s="46"/>
      <c r="G273" s="46"/>
      <c r="H273" s="41"/>
      <c r="I273" s="41"/>
      <c r="J273" s="41"/>
      <c r="K273" s="41"/>
      <c r="L273" s="33"/>
    </row>
    <row r="274" spans="2:12" x14ac:dyDescent="0.2">
      <c r="B274" s="33"/>
      <c r="D274" s="38"/>
      <c r="E274" s="38"/>
      <c r="F274" s="46"/>
      <c r="G274" s="46"/>
      <c r="H274" s="41"/>
      <c r="I274" s="41"/>
      <c r="J274" s="41"/>
      <c r="K274" s="41"/>
      <c r="L274" s="33"/>
    </row>
    <row r="275" spans="2:12" x14ac:dyDescent="0.2">
      <c r="B275" s="33"/>
      <c r="D275" s="38"/>
      <c r="E275" s="38"/>
      <c r="F275" s="46"/>
      <c r="G275" s="46"/>
      <c r="H275" s="41"/>
      <c r="I275" s="41"/>
      <c r="J275" s="41"/>
      <c r="K275" s="41"/>
      <c r="L275" s="33"/>
    </row>
    <row r="276" spans="2:12" x14ac:dyDescent="0.2">
      <c r="B276" s="33"/>
      <c r="D276" s="38"/>
      <c r="E276" s="38"/>
      <c r="F276" s="46"/>
      <c r="G276" s="46"/>
      <c r="H276" s="41"/>
      <c r="I276" s="41"/>
      <c r="J276" s="41"/>
      <c r="K276" s="41"/>
      <c r="L276" s="33"/>
    </row>
    <row r="277" spans="2:12" x14ac:dyDescent="0.2">
      <c r="B277" s="33"/>
      <c r="D277" s="38"/>
      <c r="E277" s="38"/>
      <c r="F277" s="46"/>
      <c r="G277" s="46"/>
      <c r="H277" s="41"/>
      <c r="I277" s="41"/>
      <c r="J277" s="41"/>
      <c r="K277" s="41"/>
      <c r="L277" s="33"/>
    </row>
    <row r="278" spans="2:12" x14ac:dyDescent="0.2">
      <c r="B278" s="33"/>
      <c r="D278" s="38"/>
      <c r="E278" s="38"/>
      <c r="F278" s="46"/>
      <c r="G278" s="46"/>
      <c r="H278" s="41"/>
      <c r="I278" s="41"/>
      <c r="J278" s="41"/>
      <c r="K278" s="41"/>
      <c r="L278" s="33"/>
    </row>
    <row r="279" spans="2:12" x14ac:dyDescent="0.2">
      <c r="B279" s="33"/>
      <c r="D279" s="38"/>
      <c r="E279" s="38"/>
      <c r="F279" s="46"/>
      <c r="G279" s="46"/>
      <c r="H279" s="41"/>
      <c r="I279" s="41"/>
      <c r="J279" s="41"/>
      <c r="K279" s="41"/>
      <c r="L279" s="33"/>
    </row>
    <row r="280" spans="2:12" x14ac:dyDescent="0.2">
      <c r="B280" s="33"/>
      <c r="D280" s="38"/>
      <c r="E280" s="38"/>
      <c r="F280" s="46"/>
      <c r="G280" s="46"/>
      <c r="H280" s="41"/>
      <c r="I280" s="41"/>
      <c r="J280" s="41"/>
      <c r="K280" s="41"/>
      <c r="L280" s="33"/>
    </row>
    <row r="281" spans="2:12" x14ac:dyDescent="0.2">
      <c r="B281" s="33"/>
      <c r="D281" s="38"/>
      <c r="E281" s="38"/>
      <c r="F281" s="46"/>
      <c r="G281" s="46"/>
      <c r="H281" s="41"/>
      <c r="I281" s="41"/>
      <c r="J281" s="41"/>
      <c r="K281" s="41"/>
      <c r="L281" s="33"/>
    </row>
    <row r="282" spans="2:12" x14ac:dyDescent="0.2">
      <c r="B282" s="33"/>
      <c r="D282" s="38"/>
      <c r="E282" s="38"/>
      <c r="F282" s="46"/>
      <c r="G282" s="46"/>
      <c r="H282" s="41"/>
      <c r="I282" s="41"/>
      <c r="J282" s="41"/>
      <c r="K282" s="41"/>
      <c r="L282" s="33"/>
    </row>
    <row r="283" spans="2:12" x14ac:dyDescent="0.2">
      <c r="B283" s="33"/>
      <c r="D283" s="38"/>
      <c r="E283" s="38"/>
      <c r="F283" s="46"/>
      <c r="G283" s="46"/>
      <c r="H283" s="41"/>
      <c r="I283" s="41"/>
      <c r="J283" s="41"/>
      <c r="K283" s="41"/>
      <c r="L283" s="33"/>
    </row>
    <row r="284" spans="2:12" x14ac:dyDescent="0.2">
      <c r="B284" s="33"/>
      <c r="D284" s="38"/>
      <c r="E284" s="38"/>
      <c r="F284" s="46"/>
      <c r="G284" s="46"/>
      <c r="H284" s="41"/>
      <c r="I284" s="41"/>
      <c r="J284" s="41"/>
      <c r="K284" s="41"/>
      <c r="L284" s="33"/>
    </row>
    <row r="285" spans="2:12" x14ac:dyDescent="0.2">
      <c r="B285" s="33"/>
      <c r="D285" s="38"/>
      <c r="E285" s="38"/>
      <c r="F285" s="46"/>
      <c r="G285" s="46"/>
      <c r="H285" s="41"/>
      <c r="I285" s="41"/>
      <c r="J285" s="41"/>
      <c r="K285" s="41"/>
      <c r="L285" s="33"/>
    </row>
    <row r="286" spans="2:12" x14ac:dyDescent="0.2">
      <c r="B286" s="33"/>
      <c r="D286" s="38"/>
      <c r="E286" s="38"/>
      <c r="F286" s="46"/>
      <c r="G286" s="46"/>
      <c r="H286" s="41"/>
      <c r="I286" s="41"/>
      <c r="J286" s="41"/>
      <c r="K286" s="41"/>
      <c r="L286" s="33"/>
    </row>
    <row r="287" spans="2:12" x14ac:dyDescent="0.2">
      <c r="B287" s="33"/>
      <c r="D287" s="38"/>
      <c r="E287" s="38"/>
      <c r="F287" s="46"/>
      <c r="G287" s="46"/>
      <c r="H287" s="41"/>
      <c r="I287" s="41"/>
      <c r="J287" s="41"/>
      <c r="K287" s="41"/>
      <c r="L287" s="33"/>
    </row>
    <row r="288" spans="2:12" x14ac:dyDescent="0.2">
      <c r="B288" s="33"/>
      <c r="D288" s="38"/>
      <c r="E288" s="38"/>
      <c r="F288" s="46"/>
      <c r="G288" s="46"/>
      <c r="H288" s="41"/>
      <c r="I288" s="41"/>
      <c r="J288" s="41"/>
      <c r="K288" s="41"/>
      <c r="L288" s="33"/>
    </row>
    <row r="289" spans="2:12" x14ac:dyDescent="0.2">
      <c r="B289" s="33"/>
      <c r="D289" s="38"/>
      <c r="E289" s="38"/>
      <c r="F289" s="46"/>
      <c r="G289" s="46"/>
      <c r="H289" s="41"/>
      <c r="I289" s="41"/>
      <c r="J289" s="41"/>
      <c r="K289" s="41"/>
      <c r="L289" s="33"/>
    </row>
    <row r="290" spans="2:12" x14ac:dyDescent="0.2">
      <c r="B290" s="33"/>
      <c r="D290" s="38"/>
      <c r="E290" s="38"/>
      <c r="F290" s="46"/>
      <c r="G290" s="46"/>
      <c r="H290" s="41"/>
      <c r="I290" s="41"/>
      <c r="J290" s="41"/>
      <c r="K290" s="41"/>
      <c r="L290" s="33"/>
    </row>
    <row r="291" spans="2:12" x14ac:dyDescent="0.2">
      <c r="B291" s="33"/>
      <c r="D291" s="38"/>
      <c r="E291" s="38"/>
      <c r="F291" s="46"/>
      <c r="G291" s="46"/>
      <c r="H291" s="41"/>
      <c r="I291" s="41"/>
      <c r="J291" s="41"/>
      <c r="K291" s="41"/>
      <c r="L291" s="33"/>
    </row>
    <row r="292" spans="2:12" x14ac:dyDescent="0.2">
      <c r="B292" s="33"/>
      <c r="D292" s="38"/>
      <c r="E292" s="38"/>
      <c r="F292" s="46"/>
      <c r="G292" s="46"/>
      <c r="H292" s="41"/>
      <c r="I292" s="41"/>
      <c r="J292" s="41"/>
      <c r="K292" s="41"/>
      <c r="L292" s="33"/>
    </row>
    <row r="293" spans="2:12" x14ac:dyDescent="0.2">
      <c r="B293" s="33"/>
      <c r="D293" s="38"/>
      <c r="E293" s="38"/>
      <c r="F293" s="46"/>
      <c r="G293" s="46"/>
      <c r="H293" s="41"/>
      <c r="I293" s="41"/>
      <c r="J293" s="41"/>
      <c r="K293" s="41"/>
      <c r="L293" s="33"/>
    </row>
    <row r="294" spans="2:12" x14ac:dyDescent="0.2">
      <c r="B294" s="33"/>
      <c r="D294" s="38"/>
      <c r="E294" s="38"/>
      <c r="F294" s="46"/>
      <c r="G294" s="46"/>
      <c r="H294" s="41"/>
      <c r="I294" s="41"/>
      <c r="J294" s="41"/>
      <c r="K294" s="41"/>
      <c r="L294" s="33"/>
    </row>
    <row r="295" spans="2:12" x14ac:dyDescent="0.2">
      <c r="B295" s="33"/>
      <c r="D295" s="38"/>
      <c r="E295" s="38"/>
      <c r="F295" s="46"/>
      <c r="G295" s="46"/>
      <c r="H295" s="41"/>
      <c r="I295" s="41"/>
      <c r="J295" s="41"/>
      <c r="K295" s="41"/>
      <c r="L295" s="33"/>
    </row>
    <row r="296" spans="2:12" x14ac:dyDescent="0.2">
      <c r="B296" s="33"/>
      <c r="D296" s="38"/>
      <c r="E296" s="38"/>
      <c r="F296" s="46"/>
      <c r="G296" s="46"/>
      <c r="H296" s="41"/>
      <c r="I296" s="41"/>
      <c r="J296" s="41"/>
      <c r="K296" s="41"/>
      <c r="L296" s="33"/>
    </row>
    <row r="297" spans="2:12" x14ac:dyDescent="0.2">
      <c r="B297" s="33"/>
      <c r="D297" s="38"/>
      <c r="E297" s="38"/>
      <c r="F297" s="46"/>
      <c r="G297" s="46"/>
      <c r="H297" s="41"/>
      <c r="I297" s="41"/>
      <c r="J297" s="41"/>
      <c r="K297" s="41"/>
      <c r="L297" s="33"/>
    </row>
    <row r="298" spans="2:12" x14ac:dyDescent="0.2">
      <c r="B298" s="33"/>
      <c r="D298" s="38"/>
      <c r="E298" s="38"/>
      <c r="F298" s="46"/>
      <c r="G298" s="46"/>
      <c r="H298" s="41"/>
      <c r="I298" s="41"/>
      <c r="J298" s="41"/>
      <c r="K298" s="41"/>
      <c r="L298" s="33"/>
    </row>
    <row r="299" spans="2:12" x14ac:dyDescent="0.2">
      <c r="B299" s="33"/>
      <c r="D299" s="38"/>
      <c r="E299" s="38"/>
      <c r="F299" s="46"/>
      <c r="G299" s="46"/>
      <c r="H299" s="41"/>
      <c r="I299" s="41"/>
      <c r="J299" s="41"/>
      <c r="K299" s="41"/>
      <c r="L299" s="33"/>
    </row>
    <row r="300" spans="2:12" x14ac:dyDescent="0.2">
      <c r="B300" s="33"/>
      <c r="D300" s="38"/>
      <c r="E300" s="38"/>
      <c r="F300" s="46"/>
      <c r="G300" s="46"/>
      <c r="H300" s="41"/>
      <c r="I300" s="41"/>
      <c r="J300" s="41"/>
      <c r="K300" s="41"/>
      <c r="L300" s="33"/>
    </row>
    <row r="301" spans="2:12" x14ac:dyDescent="0.2">
      <c r="B301" s="33"/>
      <c r="D301" s="38"/>
      <c r="E301" s="38"/>
      <c r="F301" s="46"/>
      <c r="G301" s="46"/>
      <c r="H301" s="41"/>
      <c r="I301" s="41"/>
      <c r="J301" s="41"/>
      <c r="K301" s="41"/>
      <c r="L301" s="33"/>
    </row>
    <row r="302" spans="2:12" x14ac:dyDescent="0.2">
      <c r="B302" s="33"/>
      <c r="D302" s="38"/>
      <c r="E302" s="38"/>
      <c r="F302" s="46"/>
      <c r="G302" s="46"/>
      <c r="H302" s="41"/>
      <c r="I302" s="41"/>
      <c r="J302" s="41"/>
      <c r="K302" s="41"/>
      <c r="L302" s="33"/>
    </row>
    <row r="303" spans="2:12" x14ac:dyDescent="0.2">
      <c r="B303" s="33"/>
      <c r="D303" s="38"/>
      <c r="E303" s="38"/>
      <c r="F303" s="46"/>
      <c r="G303" s="46"/>
      <c r="H303" s="41"/>
      <c r="I303" s="41"/>
      <c r="J303" s="41"/>
      <c r="K303" s="41"/>
      <c r="L303" s="33"/>
    </row>
    <row r="304" spans="2:12" x14ac:dyDescent="0.2">
      <c r="B304" s="33"/>
      <c r="D304" s="38"/>
      <c r="E304" s="38"/>
      <c r="F304" s="46"/>
      <c r="G304" s="46"/>
      <c r="H304" s="41"/>
      <c r="I304" s="41"/>
      <c r="J304" s="41"/>
      <c r="K304" s="41"/>
      <c r="L304" s="33"/>
    </row>
    <row r="305" spans="2:12" x14ac:dyDescent="0.2">
      <c r="B305" s="33"/>
      <c r="D305" s="38"/>
      <c r="E305" s="38"/>
      <c r="F305" s="46"/>
      <c r="G305" s="46"/>
      <c r="H305" s="41"/>
      <c r="I305" s="41"/>
      <c r="J305" s="41"/>
      <c r="K305" s="41"/>
      <c r="L305" s="33"/>
    </row>
    <row r="306" spans="2:12" x14ac:dyDescent="0.2">
      <c r="B306" s="33"/>
      <c r="D306" s="38"/>
      <c r="E306" s="38"/>
      <c r="F306" s="46"/>
      <c r="G306" s="46"/>
      <c r="H306" s="41"/>
      <c r="I306" s="41"/>
      <c r="J306" s="41"/>
      <c r="K306" s="41"/>
      <c r="L306" s="33"/>
    </row>
    <row r="307" spans="2:12" x14ac:dyDescent="0.2">
      <c r="B307" s="33"/>
      <c r="D307" s="38"/>
      <c r="E307" s="38"/>
      <c r="F307" s="46"/>
      <c r="G307" s="46"/>
      <c r="H307" s="41"/>
      <c r="I307" s="41"/>
      <c r="J307" s="41"/>
      <c r="K307" s="41"/>
      <c r="L307" s="33"/>
    </row>
    <row r="308" spans="2:12" x14ac:dyDescent="0.2">
      <c r="B308" s="33"/>
      <c r="D308" s="38"/>
      <c r="E308" s="38"/>
      <c r="F308" s="46"/>
      <c r="G308" s="46"/>
      <c r="H308" s="41"/>
      <c r="I308" s="41"/>
      <c r="J308" s="41"/>
      <c r="K308" s="41"/>
      <c r="L308" s="33"/>
    </row>
    <row r="309" spans="2:12" x14ac:dyDescent="0.2">
      <c r="B309" s="33"/>
      <c r="D309" s="38"/>
      <c r="E309" s="38"/>
      <c r="F309" s="46"/>
      <c r="G309" s="46"/>
      <c r="H309" s="41"/>
      <c r="I309" s="41"/>
      <c r="J309" s="41"/>
      <c r="K309" s="41"/>
      <c r="L309" s="33"/>
    </row>
    <row r="310" spans="2:12" x14ac:dyDescent="0.2">
      <c r="B310" s="33"/>
      <c r="D310" s="38"/>
      <c r="E310" s="38"/>
      <c r="F310" s="46"/>
      <c r="G310" s="46"/>
      <c r="H310" s="41"/>
      <c r="I310" s="41"/>
      <c r="J310" s="41"/>
      <c r="K310" s="41"/>
      <c r="L310" s="33"/>
    </row>
    <row r="311" spans="2:12" x14ac:dyDescent="0.2">
      <c r="B311" s="33"/>
      <c r="D311" s="38"/>
      <c r="E311" s="38"/>
      <c r="F311" s="46"/>
      <c r="G311" s="46"/>
      <c r="H311" s="41"/>
      <c r="I311" s="41"/>
      <c r="J311" s="41"/>
      <c r="K311" s="41"/>
      <c r="L311" s="33"/>
    </row>
    <row r="312" spans="2:12" x14ac:dyDescent="0.2">
      <c r="B312" s="33"/>
      <c r="D312" s="38"/>
      <c r="E312" s="38"/>
      <c r="F312" s="46"/>
      <c r="G312" s="46"/>
      <c r="H312" s="41"/>
      <c r="I312" s="41"/>
      <c r="J312" s="41"/>
      <c r="K312" s="41"/>
      <c r="L312" s="33"/>
    </row>
    <row r="313" spans="2:12" x14ac:dyDescent="0.2">
      <c r="B313" s="33"/>
      <c r="D313" s="38"/>
      <c r="E313" s="38"/>
      <c r="F313" s="46"/>
      <c r="G313" s="46"/>
      <c r="H313" s="41"/>
      <c r="I313" s="41"/>
      <c r="J313" s="41"/>
      <c r="K313" s="41"/>
      <c r="L313" s="33"/>
    </row>
    <row r="314" spans="2:12" x14ac:dyDescent="0.2">
      <c r="B314" s="33"/>
      <c r="D314" s="38"/>
      <c r="E314" s="38"/>
      <c r="F314" s="46"/>
      <c r="G314" s="46"/>
      <c r="H314" s="41"/>
      <c r="I314" s="41"/>
      <c r="J314" s="41"/>
      <c r="K314" s="41"/>
      <c r="L314" s="33"/>
    </row>
    <row r="315" spans="2:12" x14ac:dyDescent="0.2">
      <c r="B315" s="33"/>
      <c r="D315" s="38"/>
      <c r="E315" s="38"/>
      <c r="F315" s="46"/>
      <c r="G315" s="46"/>
      <c r="H315" s="41"/>
      <c r="I315" s="41"/>
      <c r="J315" s="41"/>
      <c r="K315" s="41"/>
      <c r="L315" s="33"/>
    </row>
    <row r="316" spans="2:12" x14ac:dyDescent="0.2">
      <c r="B316" s="33"/>
      <c r="D316" s="38"/>
      <c r="E316" s="38"/>
      <c r="F316" s="46"/>
      <c r="G316" s="46"/>
      <c r="H316" s="41"/>
      <c r="I316" s="41"/>
      <c r="J316" s="41"/>
      <c r="K316" s="41"/>
      <c r="L316" s="33"/>
    </row>
    <row r="317" spans="2:12" x14ac:dyDescent="0.2">
      <c r="B317" s="33"/>
      <c r="D317" s="38"/>
      <c r="E317" s="38"/>
      <c r="F317" s="46"/>
      <c r="G317" s="46"/>
      <c r="H317" s="41"/>
      <c r="I317" s="41"/>
      <c r="J317" s="41"/>
      <c r="K317" s="41"/>
      <c r="L317" s="33"/>
    </row>
    <row r="318" spans="2:12" x14ac:dyDescent="0.2">
      <c r="B318" s="33"/>
      <c r="D318" s="38"/>
      <c r="E318" s="38"/>
      <c r="F318" s="46"/>
      <c r="G318" s="46"/>
      <c r="H318" s="41"/>
      <c r="I318" s="41"/>
      <c r="J318" s="41"/>
      <c r="K318" s="41"/>
      <c r="L318" s="33"/>
    </row>
    <row r="319" spans="2:12" x14ac:dyDescent="0.2">
      <c r="B319" s="33"/>
      <c r="D319" s="38"/>
      <c r="E319" s="38"/>
      <c r="F319" s="46"/>
      <c r="G319" s="46"/>
      <c r="H319" s="41"/>
      <c r="I319" s="41"/>
      <c r="J319" s="41"/>
      <c r="K319" s="41"/>
      <c r="L319" s="33"/>
    </row>
    <row r="320" spans="2:12" x14ac:dyDescent="0.2">
      <c r="B320" s="33"/>
      <c r="D320" s="38"/>
      <c r="E320" s="38"/>
      <c r="F320" s="46"/>
      <c r="G320" s="46"/>
      <c r="H320" s="41"/>
      <c r="I320" s="41"/>
      <c r="J320" s="41"/>
      <c r="K320" s="41"/>
      <c r="L320" s="33"/>
    </row>
    <row r="321" spans="2:12" x14ac:dyDescent="0.2">
      <c r="B321" s="33"/>
      <c r="D321" s="38"/>
      <c r="E321" s="38"/>
      <c r="F321" s="46"/>
      <c r="G321" s="46"/>
      <c r="H321" s="41"/>
      <c r="I321" s="41"/>
      <c r="J321" s="41"/>
      <c r="K321" s="41"/>
      <c r="L321" s="33"/>
    </row>
    <row r="322" spans="2:12" x14ac:dyDescent="0.2">
      <c r="B322" s="33"/>
      <c r="D322" s="38"/>
      <c r="E322" s="38"/>
      <c r="F322" s="46"/>
      <c r="G322" s="46"/>
      <c r="H322" s="41"/>
      <c r="I322" s="41"/>
      <c r="J322" s="41"/>
      <c r="K322" s="41"/>
      <c r="L322" s="33"/>
    </row>
    <row r="323" spans="2:12" x14ac:dyDescent="0.2">
      <c r="B323" s="33"/>
      <c r="D323" s="38"/>
      <c r="E323" s="38"/>
      <c r="F323" s="46"/>
      <c r="G323" s="46"/>
      <c r="H323" s="41"/>
      <c r="I323" s="41"/>
      <c r="J323" s="41"/>
      <c r="K323" s="41"/>
      <c r="L323" s="33"/>
    </row>
    <row r="324" spans="2:12" x14ac:dyDescent="0.2">
      <c r="B324" s="33"/>
      <c r="D324" s="38"/>
      <c r="E324" s="38"/>
      <c r="F324" s="46"/>
      <c r="G324" s="46"/>
      <c r="H324" s="41"/>
      <c r="I324" s="41"/>
      <c r="J324" s="41"/>
      <c r="K324" s="41"/>
      <c r="L324" s="33"/>
    </row>
    <row r="325" spans="2:12" x14ac:dyDescent="0.2">
      <c r="B325" s="33"/>
      <c r="D325" s="38"/>
      <c r="E325" s="38"/>
      <c r="F325" s="46"/>
      <c r="G325" s="46"/>
      <c r="H325" s="41"/>
      <c r="I325" s="41"/>
      <c r="J325" s="41"/>
      <c r="K325" s="41"/>
      <c r="L325" s="33"/>
    </row>
    <row r="326" spans="2:12" x14ac:dyDescent="0.2">
      <c r="B326" s="33"/>
      <c r="D326" s="38"/>
      <c r="E326" s="38"/>
      <c r="F326" s="46"/>
      <c r="G326" s="46"/>
      <c r="H326" s="41"/>
      <c r="I326" s="41"/>
      <c r="J326" s="41"/>
      <c r="K326" s="41"/>
      <c r="L326" s="33"/>
    </row>
    <row r="327" spans="2:12" x14ac:dyDescent="0.2">
      <c r="B327" s="33"/>
      <c r="D327" s="38"/>
      <c r="E327" s="38"/>
      <c r="F327" s="46"/>
      <c r="G327" s="46"/>
      <c r="H327" s="41"/>
      <c r="I327" s="41"/>
      <c r="J327" s="41"/>
      <c r="K327" s="41"/>
      <c r="L327" s="33"/>
    </row>
    <row r="328" spans="2:12" x14ac:dyDescent="0.2">
      <c r="B328" s="33"/>
      <c r="D328" s="38"/>
      <c r="E328" s="38"/>
      <c r="F328" s="46"/>
      <c r="G328" s="46"/>
      <c r="H328" s="41"/>
      <c r="I328" s="41"/>
      <c r="J328" s="41"/>
      <c r="K328" s="41"/>
      <c r="L328" s="33"/>
    </row>
    <row r="329" spans="2:12" x14ac:dyDescent="0.2">
      <c r="B329" s="33"/>
      <c r="D329" s="38"/>
      <c r="E329" s="38"/>
      <c r="F329" s="46"/>
      <c r="G329" s="46"/>
      <c r="H329" s="41"/>
      <c r="I329" s="41"/>
      <c r="J329" s="41"/>
      <c r="K329" s="41"/>
      <c r="L329" s="33"/>
    </row>
    <row r="330" spans="2:12" x14ac:dyDescent="0.2">
      <c r="B330" s="33"/>
      <c r="D330" s="38"/>
      <c r="E330" s="38"/>
      <c r="F330" s="46"/>
      <c r="G330" s="46"/>
      <c r="H330" s="41"/>
      <c r="I330" s="41"/>
      <c r="J330" s="41"/>
      <c r="K330" s="41"/>
      <c r="L330" s="33"/>
    </row>
    <row r="331" spans="2:12" x14ac:dyDescent="0.2">
      <c r="B331" s="33"/>
      <c r="D331" s="38"/>
      <c r="E331" s="38"/>
      <c r="F331" s="46"/>
      <c r="G331" s="46"/>
      <c r="H331" s="41"/>
      <c r="I331" s="41"/>
      <c r="J331" s="41"/>
      <c r="K331" s="41"/>
      <c r="L331" s="33"/>
    </row>
    <row r="332" spans="2:12" x14ac:dyDescent="0.2">
      <c r="B332" s="33"/>
      <c r="D332" s="38"/>
      <c r="E332" s="38"/>
      <c r="F332" s="46"/>
      <c r="G332" s="46"/>
      <c r="H332" s="41"/>
      <c r="I332" s="41"/>
      <c r="J332" s="41"/>
      <c r="K332" s="41"/>
      <c r="L332" s="33"/>
    </row>
    <row r="333" spans="2:12" x14ac:dyDescent="0.2">
      <c r="B333" s="33"/>
      <c r="D333" s="38"/>
      <c r="E333" s="38"/>
      <c r="F333" s="46"/>
      <c r="G333" s="46"/>
      <c r="H333" s="41"/>
      <c r="I333" s="41"/>
      <c r="J333" s="41"/>
      <c r="K333" s="41"/>
      <c r="L333" s="33"/>
    </row>
    <row r="334" spans="2:12" x14ac:dyDescent="0.2">
      <c r="B334" s="33"/>
      <c r="D334" s="38"/>
      <c r="E334" s="38"/>
      <c r="F334" s="46"/>
      <c r="G334" s="46"/>
      <c r="H334" s="41"/>
      <c r="I334" s="41"/>
      <c r="J334" s="41"/>
      <c r="K334" s="41"/>
      <c r="L334" s="33"/>
    </row>
    <row r="335" spans="2:12" x14ac:dyDescent="0.2">
      <c r="B335" s="33"/>
      <c r="D335" s="38"/>
      <c r="E335" s="38"/>
      <c r="F335" s="46"/>
      <c r="G335" s="46"/>
      <c r="H335" s="41"/>
      <c r="I335" s="41"/>
      <c r="J335" s="41"/>
      <c r="K335" s="41"/>
      <c r="L335" s="33"/>
    </row>
    <row r="336" spans="2:12" x14ac:dyDescent="0.2">
      <c r="B336" s="33"/>
      <c r="D336" s="38"/>
      <c r="E336" s="38"/>
      <c r="F336" s="46"/>
      <c r="G336" s="46"/>
      <c r="H336" s="41"/>
      <c r="I336" s="41"/>
      <c r="J336" s="41"/>
      <c r="K336" s="41"/>
      <c r="L336" s="33"/>
    </row>
    <row r="337" spans="2:12" x14ac:dyDescent="0.2">
      <c r="B337" s="33"/>
      <c r="D337" s="38"/>
      <c r="E337" s="38"/>
      <c r="F337" s="46"/>
      <c r="G337" s="46"/>
      <c r="H337" s="41"/>
      <c r="I337" s="41"/>
      <c r="J337" s="41"/>
      <c r="K337" s="41"/>
      <c r="L337" s="33"/>
    </row>
    <row r="338" spans="2:12" x14ac:dyDescent="0.2">
      <c r="B338" s="33"/>
      <c r="D338" s="38"/>
      <c r="E338" s="38"/>
      <c r="F338" s="46"/>
      <c r="G338" s="46"/>
      <c r="H338" s="41"/>
      <c r="I338" s="41"/>
      <c r="J338" s="41"/>
      <c r="K338" s="41"/>
      <c r="L338" s="33"/>
    </row>
    <row r="339" spans="2:12" x14ac:dyDescent="0.2">
      <c r="B339" s="33"/>
      <c r="D339" s="38"/>
      <c r="E339" s="38"/>
      <c r="F339" s="46"/>
      <c r="G339" s="46"/>
      <c r="H339" s="41"/>
      <c r="I339" s="41"/>
      <c r="J339" s="41"/>
      <c r="K339" s="41"/>
      <c r="L339" s="33"/>
    </row>
    <row r="340" spans="2:12" x14ac:dyDescent="0.2">
      <c r="B340" s="33"/>
      <c r="D340" s="38"/>
      <c r="E340" s="38"/>
      <c r="F340" s="46"/>
      <c r="G340" s="46"/>
      <c r="H340" s="41"/>
      <c r="I340" s="41"/>
      <c r="J340" s="41"/>
      <c r="K340" s="41"/>
      <c r="L340" s="33"/>
    </row>
    <row r="341" spans="2:12" x14ac:dyDescent="0.2">
      <c r="B341" s="33"/>
      <c r="D341" s="38"/>
      <c r="E341" s="38"/>
      <c r="F341" s="46"/>
      <c r="G341" s="46"/>
      <c r="H341" s="41"/>
      <c r="I341" s="41"/>
      <c r="J341" s="41"/>
      <c r="K341" s="41"/>
      <c r="L341" s="33"/>
    </row>
    <row r="342" spans="2:12" x14ac:dyDescent="0.2">
      <c r="B342" s="33"/>
      <c r="D342" s="38"/>
      <c r="E342" s="38"/>
      <c r="F342" s="46"/>
      <c r="G342" s="46"/>
      <c r="H342" s="41"/>
      <c r="I342" s="41"/>
      <c r="J342" s="41"/>
      <c r="K342" s="41"/>
      <c r="L342" s="33"/>
    </row>
    <row r="343" spans="2:12" x14ac:dyDescent="0.2">
      <c r="B343" s="33"/>
      <c r="D343" s="38"/>
      <c r="E343" s="38"/>
      <c r="F343" s="46"/>
      <c r="G343" s="46"/>
      <c r="H343" s="41"/>
      <c r="I343" s="41"/>
      <c r="J343" s="41"/>
      <c r="K343" s="41"/>
      <c r="L343" s="33"/>
    </row>
    <row r="344" spans="2:12" x14ac:dyDescent="0.2">
      <c r="B344" s="33"/>
      <c r="D344" s="38"/>
      <c r="E344" s="38"/>
      <c r="F344" s="46"/>
      <c r="G344" s="46"/>
      <c r="H344" s="41"/>
      <c r="I344" s="41"/>
      <c r="J344" s="41"/>
      <c r="K344" s="41"/>
      <c r="L344" s="33"/>
    </row>
    <row r="345" spans="2:12" x14ac:dyDescent="0.2">
      <c r="B345" s="33"/>
      <c r="D345" s="38"/>
      <c r="E345" s="38"/>
      <c r="F345" s="46"/>
      <c r="G345" s="46"/>
      <c r="H345" s="41"/>
      <c r="I345" s="41"/>
      <c r="J345" s="41"/>
      <c r="K345" s="41"/>
      <c r="L345" s="33"/>
    </row>
    <row r="346" spans="2:12" x14ac:dyDescent="0.2">
      <c r="B346" s="33"/>
      <c r="D346" s="38"/>
      <c r="E346" s="38"/>
      <c r="F346" s="46"/>
      <c r="G346" s="46"/>
      <c r="H346" s="41"/>
      <c r="I346" s="41"/>
      <c r="J346" s="41"/>
      <c r="K346" s="41"/>
      <c r="L346" s="33"/>
    </row>
    <row r="347" spans="2:12" x14ac:dyDescent="0.2">
      <c r="B347" s="33"/>
      <c r="D347" s="38"/>
      <c r="E347" s="38"/>
      <c r="F347" s="46"/>
      <c r="G347" s="46"/>
      <c r="H347" s="41"/>
      <c r="I347" s="41"/>
      <c r="J347" s="41"/>
      <c r="K347" s="41"/>
      <c r="L347" s="33"/>
    </row>
    <row r="348" spans="2:12" x14ac:dyDescent="0.2">
      <c r="B348" s="33"/>
      <c r="D348" s="38"/>
      <c r="E348" s="38"/>
      <c r="F348" s="46"/>
      <c r="G348" s="46"/>
      <c r="H348" s="41"/>
      <c r="I348" s="41"/>
      <c r="J348" s="41"/>
      <c r="K348" s="41"/>
      <c r="L348" s="33"/>
    </row>
    <row r="349" spans="2:12" x14ac:dyDescent="0.2">
      <c r="B349" s="33"/>
      <c r="D349" s="38"/>
      <c r="E349" s="38"/>
      <c r="F349" s="46"/>
      <c r="G349" s="46"/>
      <c r="H349" s="41"/>
      <c r="I349" s="41"/>
      <c r="J349" s="41"/>
      <c r="K349" s="41"/>
      <c r="L349" s="33"/>
    </row>
    <row r="350" spans="2:12" x14ac:dyDescent="0.2">
      <c r="B350" s="33"/>
      <c r="D350" s="38"/>
      <c r="E350" s="38"/>
      <c r="F350" s="46"/>
      <c r="G350" s="46"/>
      <c r="H350" s="41"/>
      <c r="I350" s="41"/>
      <c r="J350" s="41"/>
      <c r="K350" s="41"/>
      <c r="L350" s="33"/>
    </row>
    <row r="351" spans="2:12" x14ac:dyDescent="0.2">
      <c r="B351" s="33"/>
      <c r="D351" s="38"/>
      <c r="E351" s="38"/>
      <c r="F351" s="46"/>
      <c r="G351" s="46"/>
      <c r="H351" s="41"/>
      <c r="I351" s="41"/>
      <c r="J351" s="41"/>
      <c r="K351" s="41"/>
      <c r="L351" s="33"/>
    </row>
    <row r="352" spans="2:12" x14ac:dyDescent="0.2">
      <c r="B352" s="33"/>
      <c r="D352" s="38"/>
      <c r="E352" s="38"/>
      <c r="F352" s="46"/>
      <c r="G352" s="46"/>
      <c r="H352" s="41"/>
      <c r="I352" s="41"/>
      <c r="J352" s="41"/>
      <c r="K352" s="41"/>
      <c r="L352" s="33"/>
    </row>
    <row r="353" spans="2:12" x14ac:dyDescent="0.2">
      <c r="B353" s="33"/>
      <c r="D353" s="38"/>
      <c r="E353" s="38"/>
      <c r="F353" s="46"/>
      <c r="G353" s="46"/>
      <c r="H353" s="41"/>
      <c r="I353" s="41"/>
      <c r="J353" s="41"/>
      <c r="K353" s="41"/>
      <c r="L353" s="33"/>
    </row>
    <row r="354" spans="2:12" x14ac:dyDescent="0.2">
      <c r="B354" s="33"/>
      <c r="D354" s="38"/>
      <c r="E354" s="38"/>
      <c r="F354" s="46"/>
      <c r="G354" s="46"/>
      <c r="H354" s="41"/>
      <c r="I354" s="41"/>
      <c r="J354" s="41"/>
      <c r="K354" s="41"/>
      <c r="L354" s="33"/>
    </row>
    <row r="355" spans="2:12" x14ac:dyDescent="0.2">
      <c r="B355" s="33"/>
      <c r="D355" s="38"/>
      <c r="E355" s="38"/>
      <c r="F355" s="46"/>
      <c r="G355" s="46"/>
      <c r="H355" s="41"/>
      <c r="I355" s="41"/>
      <c r="J355" s="41"/>
      <c r="K355" s="41"/>
      <c r="L355" s="33"/>
    </row>
    <row r="356" spans="2:12" x14ac:dyDescent="0.2">
      <c r="B356" s="33"/>
      <c r="D356" s="38"/>
      <c r="E356" s="38"/>
      <c r="F356" s="46"/>
      <c r="G356" s="46"/>
      <c r="H356" s="41"/>
      <c r="I356" s="41"/>
      <c r="J356" s="41"/>
      <c r="K356" s="41"/>
      <c r="L356" s="33"/>
    </row>
    <row r="357" spans="2:12" x14ac:dyDescent="0.2">
      <c r="B357" s="33"/>
      <c r="D357" s="38"/>
      <c r="E357" s="38"/>
      <c r="F357" s="46"/>
      <c r="G357" s="46"/>
      <c r="H357" s="41"/>
      <c r="I357" s="41"/>
      <c r="J357" s="41"/>
      <c r="K357" s="41"/>
      <c r="L357" s="33"/>
    </row>
    <row r="358" spans="2:12" x14ac:dyDescent="0.2">
      <c r="B358" s="33"/>
      <c r="D358" s="38"/>
      <c r="E358" s="38"/>
      <c r="F358" s="46"/>
      <c r="G358" s="46"/>
      <c r="H358" s="41"/>
      <c r="I358" s="41"/>
      <c r="J358" s="41"/>
      <c r="K358" s="41"/>
      <c r="L358" s="33"/>
    </row>
    <row r="359" spans="2:12" x14ac:dyDescent="0.2">
      <c r="B359" s="33"/>
      <c r="D359" s="38"/>
      <c r="E359" s="38"/>
      <c r="F359" s="46"/>
      <c r="G359" s="46"/>
      <c r="H359" s="41"/>
      <c r="I359" s="41"/>
      <c r="J359" s="41"/>
      <c r="K359" s="41"/>
      <c r="L359" s="33"/>
    </row>
    <row r="360" spans="2:12" x14ac:dyDescent="0.2">
      <c r="B360" s="33"/>
      <c r="D360" s="38"/>
      <c r="E360" s="38"/>
      <c r="F360" s="46"/>
      <c r="G360" s="46"/>
      <c r="H360" s="41"/>
      <c r="I360" s="41"/>
      <c r="J360" s="41"/>
      <c r="K360" s="41"/>
      <c r="L360" s="33"/>
    </row>
    <row r="361" spans="2:12" x14ac:dyDescent="0.2">
      <c r="B361" s="33"/>
      <c r="D361" s="38"/>
      <c r="E361" s="38"/>
      <c r="F361" s="46"/>
      <c r="G361" s="46"/>
      <c r="H361" s="41"/>
      <c r="I361" s="41"/>
      <c r="J361" s="41"/>
      <c r="K361" s="41"/>
      <c r="L361" s="33"/>
    </row>
    <row r="362" spans="2:12" x14ac:dyDescent="0.2">
      <c r="B362" s="33"/>
      <c r="D362" s="38"/>
      <c r="E362" s="38"/>
      <c r="F362" s="46"/>
      <c r="G362" s="46"/>
      <c r="H362" s="41"/>
      <c r="I362" s="41"/>
      <c r="J362" s="41"/>
      <c r="K362" s="41"/>
      <c r="L362" s="33"/>
    </row>
    <row r="363" spans="2:12" x14ac:dyDescent="0.2">
      <c r="B363" s="33"/>
      <c r="D363" s="38"/>
      <c r="E363" s="38"/>
      <c r="F363" s="46"/>
      <c r="G363" s="46"/>
      <c r="H363" s="41"/>
      <c r="I363" s="41"/>
      <c r="J363" s="41"/>
      <c r="K363" s="41"/>
      <c r="L363" s="33"/>
    </row>
    <row r="364" spans="2:12" x14ac:dyDescent="0.2">
      <c r="B364" s="33"/>
      <c r="D364" s="38"/>
      <c r="E364" s="38"/>
      <c r="F364" s="46"/>
      <c r="G364" s="46"/>
      <c r="H364" s="41"/>
      <c r="I364" s="41"/>
      <c r="J364" s="41"/>
      <c r="K364" s="41"/>
      <c r="L364" s="33"/>
    </row>
    <row r="365" spans="2:12" x14ac:dyDescent="0.2">
      <c r="B365" s="33"/>
      <c r="D365" s="38"/>
      <c r="E365" s="38"/>
      <c r="F365" s="46"/>
      <c r="G365" s="46"/>
      <c r="H365" s="41"/>
      <c r="I365" s="41"/>
      <c r="J365" s="41"/>
      <c r="K365" s="41"/>
      <c r="L365" s="33"/>
    </row>
    <row r="366" spans="2:12" x14ac:dyDescent="0.2">
      <c r="B366" s="33"/>
      <c r="D366" s="38"/>
      <c r="E366" s="38"/>
      <c r="F366" s="46"/>
      <c r="G366" s="46"/>
      <c r="H366" s="41"/>
      <c r="I366" s="41"/>
      <c r="J366" s="41"/>
      <c r="K366" s="41"/>
      <c r="L366" s="33"/>
    </row>
    <row r="367" spans="2:12" x14ac:dyDescent="0.2">
      <c r="B367" s="33"/>
      <c r="D367" s="38"/>
      <c r="E367" s="38"/>
      <c r="F367" s="46"/>
      <c r="G367" s="46"/>
      <c r="H367" s="41"/>
      <c r="I367" s="41"/>
      <c r="J367" s="41"/>
      <c r="K367" s="41"/>
      <c r="L367" s="33"/>
    </row>
    <row r="368" spans="2:12" x14ac:dyDescent="0.2">
      <c r="B368" s="33"/>
      <c r="D368" s="38"/>
      <c r="E368" s="38"/>
      <c r="F368" s="46"/>
      <c r="G368" s="46"/>
      <c r="H368" s="41"/>
      <c r="I368" s="41"/>
      <c r="J368" s="41"/>
      <c r="K368" s="41"/>
      <c r="L368" s="33"/>
    </row>
    <row r="369" spans="2:12" x14ac:dyDescent="0.2">
      <c r="B369" s="33"/>
      <c r="D369" s="38"/>
      <c r="E369" s="38"/>
      <c r="F369" s="46"/>
      <c r="G369" s="46"/>
      <c r="H369" s="41"/>
      <c r="I369" s="41"/>
      <c r="J369" s="41"/>
      <c r="K369" s="41"/>
      <c r="L369" s="33"/>
    </row>
    <row r="370" spans="2:12" x14ac:dyDescent="0.2">
      <c r="B370" s="33"/>
      <c r="D370" s="38"/>
      <c r="E370" s="38"/>
      <c r="F370" s="46"/>
      <c r="G370" s="46"/>
      <c r="H370" s="41"/>
      <c r="I370" s="41"/>
      <c r="J370" s="41"/>
      <c r="K370" s="41"/>
      <c r="L370" s="33"/>
    </row>
    <row r="371" spans="2:12" x14ac:dyDescent="0.2">
      <c r="B371" s="33"/>
      <c r="D371" s="38"/>
      <c r="E371" s="38"/>
      <c r="F371" s="46"/>
      <c r="G371" s="46"/>
      <c r="H371" s="41"/>
      <c r="I371" s="41"/>
      <c r="J371" s="41"/>
      <c r="K371" s="41"/>
      <c r="L371" s="33"/>
    </row>
    <row r="372" spans="2:12" x14ac:dyDescent="0.2">
      <c r="B372" s="33"/>
      <c r="D372" s="38"/>
      <c r="E372" s="38"/>
      <c r="F372" s="46"/>
      <c r="G372" s="46"/>
      <c r="H372" s="41"/>
      <c r="I372" s="41"/>
      <c r="J372" s="41"/>
      <c r="K372" s="41"/>
      <c r="L372" s="33"/>
    </row>
    <row r="373" spans="2:12" x14ac:dyDescent="0.2">
      <c r="B373" s="33"/>
      <c r="D373" s="38"/>
      <c r="E373" s="38"/>
      <c r="F373" s="46"/>
      <c r="G373" s="46"/>
      <c r="H373" s="41"/>
      <c r="I373" s="41"/>
      <c r="J373" s="41"/>
      <c r="K373" s="41"/>
      <c r="L373" s="33"/>
    </row>
    <row r="374" spans="2:12" x14ac:dyDescent="0.2">
      <c r="B374" s="33"/>
      <c r="D374" s="38"/>
      <c r="E374" s="38"/>
      <c r="F374" s="46"/>
      <c r="G374" s="46"/>
      <c r="H374" s="41"/>
      <c r="I374" s="41"/>
      <c r="J374" s="41"/>
      <c r="K374" s="41"/>
      <c r="L374" s="33"/>
    </row>
    <row r="375" spans="2:12" x14ac:dyDescent="0.2">
      <c r="B375" s="33"/>
      <c r="D375" s="38"/>
      <c r="E375" s="38"/>
      <c r="F375" s="46"/>
      <c r="G375" s="46"/>
      <c r="H375" s="41"/>
      <c r="I375" s="41"/>
      <c r="J375" s="41"/>
      <c r="K375" s="41"/>
      <c r="L375" s="33"/>
    </row>
    <row r="376" spans="2:12" x14ac:dyDescent="0.2">
      <c r="B376" s="33"/>
      <c r="D376" s="38"/>
      <c r="E376" s="38"/>
      <c r="F376" s="46"/>
      <c r="G376" s="46"/>
      <c r="H376" s="41"/>
      <c r="I376" s="41"/>
      <c r="J376" s="41"/>
      <c r="K376" s="41"/>
      <c r="L376" s="33"/>
    </row>
    <row r="377" spans="2:12" x14ac:dyDescent="0.2">
      <c r="B377" s="33"/>
      <c r="D377" s="38"/>
      <c r="E377" s="38"/>
      <c r="F377" s="46"/>
      <c r="G377" s="46"/>
      <c r="H377" s="41"/>
      <c r="I377" s="41"/>
      <c r="J377" s="41"/>
      <c r="K377" s="41"/>
      <c r="L377" s="33"/>
    </row>
    <row r="378" spans="2:12" x14ac:dyDescent="0.2">
      <c r="B378" s="33"/>
      <c r="D378" s="38"/>
      <c r="E378" s="38"/>
      <c r="F378" s="46"/>
      <c r="G378" s="46"/>
      <c r="H378" s="41"/>
      <c r="I378" s="41"/>
      <c r="J378" s="41"/>
      <c r="K378" s="41"/>
      <c r="L378" s="33"/>
    </row>
    <row r="379" spans="2:12" x14ac:dyDescent="0.2">
      <c r="B379" s="33"/>
      <c r="D379" s="38"/>
      <c r="E379" s="38"/>
      <c r="F379" s="46"/>
      <c r="G379" s="46"/>
      <c r="H379" s="41"/>
      <c r="I379" s="41"/>
      <c r="J379" s="41"/>
      <c r="K379" s="41"/>
      <c r="L379" s="33"/>
    </row>
    <row r="380" spans="2:12" x14ac:dyDescent="0.2">
      <c r="B380" s="33"/>
      <c r="D380" s="38"/>
      <c r="E380" s="38"/>
      <c r="F380" s="46"/>
      <c r="G380" s="46"/>
      <c r="H380" s="41"/>
      <c r="I380" s="41"/>
      <c r="J380" s="41"/>
      <c r="K380" s="41"/>
      <c r="L380" s="33"/>
    </row>
    <row r="381" spans="2:12" x14ac:dyDescent="0.2">
      <c r="B381" s="33"/>
      <c r="D381" s="38"/>
      <c r="E381" s="38"/>
      <c r="F381" s="46"/>
      <c r="G381" s="46"/>
      <c r="H381" s="41"/>
      <c r="I381" s="41"/>
      <c r="J381" s="41"/>
      <c r="K381" s="41"/>
      <c r="L381" s="33"/>
    </row>
    <row r="382" spans="2:12" x14ac:dyDescent="0.2">
      <c r="B382" s="33"/>
      <c r="D382" s="38"/>
      <c r="E382" s="38"/>
      <c r="F382" s="46"/>
      <c r="G382" s="46"/>
      <c r="H382" s="41"/>
      <c r="I382" s="41"/>
      <c r="J382" s="41"/>
      <c r="K382" s="41"/>
      <c r="L382" s="33"/>
    </row>
    <row r="383" spans="2:12" x14ac:dyDescent="0.2">
      <c r="B383" s="33"/>
      <c r="D383" s="38"/>
      <c r="E383" s="38"/>
      <c r="F383" s="46"/>
      <c r="G383" s="46"/>
      <c r="H383" s="41"/>
      <c r="I383" s="41"/>
      <c r="J383" s="41"/>
      <c r="K383" s="41"/>
      <c r="L383" s="33"/>
    </row>
    <row r="384" spans="2:12" x14ac:dyDescent="0.2">
      <c r="B384" s="33"/>
      <c r="D384" s="38"/>
      <c r="E384" s="38"/>
      <c r="F384" s="46"/>
      <c r="G384" s="46"/>
      <c r="H384" s="41"/>
      <c r="I384" s="41"/>
      <c r="J384" s="41"/>
      <c r="K384" s="41"/>
      <c r="L384" s="33"/>
    </row>
    <row r="385" spans="2:12" x14ac:dyDescent="0.2">
      <c r="B385" s="33"/>
      <c r="D385" s="38"/>
      <c r="E385" s="38"/>
      <c r="F385" s="46"/>
      <c r="G385" s="46"/>
      <c r="H385" s="41"/>
      <c r="I385" s="41"/>
      <c r="J385" s="41"/>
      <c r="K385" s="41"/>
      <c r="L385" s="33"/>
    </row>
    <row r="386" spans="2:12" x14ac:dyDescent="0.2">
      <c r="B386" s="33"/>
      <c r="D386" s="38"/>
      <c r="E386" s="38"/>
      <c r="F386" s="46"/>
      <c r="G386" s="46"/>
      <c r="H386" s="41"/>
      <c r="I386" s="41"/>
      <c r="J386" s="41"/>
      <c r="K386" s="41"/>
      <c r="L386" s="33"/>
    </row>
    <row r="387" spans="2:12" x14ac:dyDescent="0.2">
      <c r="B387" s="33"/>
      <c r="D387" s="38"/>
      <c r="E387" s="38"/>
      <c r="F387" s="46"/>
      <c r="G387" s="46"/>
      <c r="H387" s="41"/>
      <c r="I387" s="41"/>
      <c r="J387" s="41"/>
      <c r="K387" s="41"/>
      <c r="L387" s="33"/>
    </row>
    <row r="388" spans="2:12" x14ac:dyDescent="0.2">
      <c r="B388" s="33"/>
      <c r="D388" s="38"/>
      <c r="E388" s="38"/>
      <c r="F388" s="46"/>
      <c r="G388" s="46"/>
      <c r="H388" s="41"/>
      <c r="I388" s="41"/>
      <c r="J388" s="41"/>
      <c r="K388" s="41"/>
      <c r="L388" s="33"/>
    </row>
    <row r="389" spans="2:12" x14ac:dyDescent="0.2">
      <c r="B389" s="33"/>
      <c r="D389" s="38"/>
      <c r="E389" s="38"/>
      <c r="F389" s="46"/>
      <c r="G389" s="46"/>
      <c r="H389" s="41"/>
      <c r="I389" s="41"/>
      <c r="J389" s="41"/>
      <c r="K389" s="41"/>
      <c r="L389" s="33"/>
    </row>
    <row r="390" spans="2:12" x14ac:dyDescent="0.2">
      <c r="B390" s="33"/>
      <c r="D390" s="38"/>
      <c r="E390" s="38"/>
      <c r="F390" s="46"/>
      <c r="G390" s="46"/>
      <c r="H390" s="41"/>
      <c r="I390" s="41"/>
      <c r="J390" s="41"/>
      <c r="K390" s="41"/>
      <c r="L390" s="33"/>
    </row>
    <row r="391" spans="2:12" x14ac:dyDescent="0.2">
      <c r="B391" s="33"/>
      <c r="D391" s="38"/>
      <c r="E391" s="38"/>
      <c r="F391" s="46"/>
      <c r="G391" s="46"/>
      <c r="H391" s="41"/>
      <c r="I391" s="41"/>
      <c r="J391" s="41"/>
      <c r="K391" s="41"/>
      <c r="L391" s="33"/>
    </row>
    <row r="392" spans="2:12" x14ac:dyDescent="0.2">
      <c r="B392" s="33"/>
      <c r="D392" s="38"/>
      <c r="E392" s="38"/>
      <c r="F392" s="46"/>
      <c r="G392" s="46"/>
      <c r="H392" s="41"/>
      <c r="I392" s="41"/>
      <c r="J392" s="41"/>
      <c r="K392" s="41"/>
      <c r="L392" s="33"/>
    </row>
    <row r="393" spans="2:12" x14ac:dyDescent="0.2">
      <c r="B393" s="33"/>
      <c r="D393" s="38"/>
      <c r="E393" s="38"/>
      <c r="F393" s="46"/>
      <c r="G393" s="46"/>
      <c r="H393" s="41"/>
      <c r="I393" s="41"/>
      <c r="J393" s="41"/>
      <c r="K393" s="41"/>
      <c r="L393" s="33"/>
    </row>
    <row r="394" spans="2:12" x14ac:dyDescent="0.2">
      <c r="B394" s="33"/>
      <c r="D394" s="38"/>
      <c r="E394" s="38"/>
      <c r="F394" s="46"/>
      <c r="G394" s="46"/>
      <c r="H394" s="41"/>
      <c r="I394" s="41"/>
      <c r="J394" s="41"/>
      <c r="K394" s="41"/>
      <c r="L394" s="33"/>
    </row>
    <row r="395" spans="2:12" x14ac:dyDescent="0.2">
      <c r="B395" s="33"/>
      <c r="D395" s="38"/>
      <c r="E395" s="38"/>
      <c r="F395" s="46"/>
      <c r="G395" s="46"/>
      <c r="H395" s="41"/>
      <c r="I395" s="41"/>
      <c r="J395" s="41"/>
      <c r="K395" s="41"/>
      <c r="L395" s="33"/>
    </row>
  </sheetData>
  <mergeCells count="39">
    <mergeCell ref="B3:B12"/>
    <mergeCell ref="B13:B22"/>
    <mergeCell ref="B23:B31"/>
    <mergeCell ref="B100:B113"/>
    <mergeCell ref="B114:B123"/>
    <mergeCell ref="B124:B135"/>
    <mergeCell ref="B36:B44"/>
    <mergeCell ref="B45:B53"/>
    <mergeCell ref="B54:B65"/>
    <mergeCell ref="B66:B76"/>
    <mergeCell ref="B77:B80"/>
    <mergeCell ref="B136:B149"/>
    <mergeCell ref="B150:B154"/>
    <mergeCell ref="K36:K44"/>
    <mergeCell ref="K45:K53"/>
    <mergeCell ref="K54:K65"/>
    <mergeCell ref="K66:K76"/>
    <mergeCell ref="K77:K80"/>
    <mergeCell ref="K81:K90"/>
    <mergeCell ref="K91:K99"/>
    <mergeCell ref="K100:K113"/>
    <mergeCell ref="K114:K123"/>
    <mergeCell ref="K124:K135"/>
    <mergeCell ref="K136:K149"/>
    <mergeCell ref="K150:K154"/>
    <mergeCell ref="B81:B90"/>
    <mergeCell ref="B91:B99"/>
    <mergeCell ref="H36:H44"/>
    <mergeCell ref="H45:H53"/>
    <mergeCell ref="H54:H65"/>
    <mergeCell ref="H66:H76"/>
    <mergeCell ref="H77:H80"/>
    <mergeCell ref="H136:H149"/>
    <mergeCell ref="H150:H154"/>
    <mergeCell ref="H81:H90"/>
    <mergeCell ref="H91:H99"/>
    <mergeCell ref="H100:H113"/>
    <mergeCell ref="H114:H123"/>
    <mergeCell ref="H124:H1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7C72-42B8-1A45-921F-39D7DA4FEB52}">
  <dimension ref="A2:Z115"/>
  <sheetViews>
    <sheetView topLeftCell="A75" workbookViewId="0">
      <selection activeCell="C88" sqref="C88:K97"/>
    </sheetView>
  </sheetViews>
  <sheetFormatPr baseColWidth="10" defaultColWidth="11" defaultRowHeight="16" x14ac:dyDescent="0.2"/>
  <cols>
    <col min="3" max="3" width="14.5" bestFit="1" customWidth="1"/>
    <col min="6" max="6" width="5.83203125" customWidth="1"/>
    <col min="9" max="9" width="5.83203125" customWidth="1"/>
    <col min="12" max="12" width="5.83203125" customWidth="1"/>
  </cols>
  <sheetData>
    <row r="2" spans="1:25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x14ac:dyDescent="0.2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5" x14ac:dyDescent="0.2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5" x14ac:dyDescent="0.2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25" x14ac:dyDescent="0.2">
      <c r="A6" s="253" t="s">
        <v>362</v>
      </c>
      <c r="B6" s="253"/>
      <c r="C6" s="253"/>
      <c r="D6" s="253"/>
      <c r="E6" s="253"/>
      <c r="F6" s="2"/>
      <c r="G6" s="2"/>
      <c r="H6" s="2"/>
      <c r="I6" s="2"/>
      <c r="J6" s="2"/>
      <c r="K6" s="2"/>
      <c r="L6" s="2"/>
      <c r="M6" s="2"/>
      <c r="N6" s="2"/>
    </row>
    <row r="7" spans="1:25" x14ac:dyDescent="0.2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25" ht="17" thickBot="1" x14ac:dyDescent="0.25">
      <c r="B8" s="3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4"/>
    </row>
    <row r="9" spans="1:25" x14ac:dyDescent="0.2">
      <c r="B9" s="4"/>
      <c r="C9" s="251" t="s">
        <v>0</v>
      </c>
      <c r="D9" s="252" t="s">
        <v>1</v>
      </c>
      <c r="E9" s="252"/>
      <c r="F9" s="6"/>
      <c r="G9" s="252" t="s">
        <v>2</v>
      </c>
      <c r="H9" s="252"/>
      <c r="I9" s="6"/>
      <c r="J9" s="252" t="s">
        <v>3</v>
      </c>
      <c r="K9" s="252"/>
      <c r="L9" s="6"/>
      <c r="M9" s="252" t="s">
        <v>4</v>
      </c>
      <c r="N9" s="252"/>
      <c r="O9" s="4"/>
    </row>
    <row r="10" spans="1:25" x14ac:dyDescent="0.2">
      <c r="B10" s="4"/>
      <c r="C10" s="252"/>
      <c r="D10" s="7" t="s">
        <v>5</v>
      </c>
      <c r="E10" s="7" t="s">
        <v>6</v>
      </c>
      <c r="F10" s="8"/>
      <c r="G10" s="7" t="s">
        <v>5</v>
      </c>
      <c r="H10" s="7" t="s">
        <v>6</v>
      </c>
      <c r="I10" s="8"/>
      <c r="J10" s="7" t="s">
        <v>5</v>
      </c>
      <c r="K10" s="7" t="s">
        <v>6</v>
      </c>
      <c r="L10" s="8"/>
      <c r="M10" s="7" t="s">
        <v>5</v>
      </c>
      <c r="N10" s="7" t="s">
        <v>6</v>
      </c>
      <c r="O10" s="4"/>
      <c r="P10" s="1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">
      <c r="B11" s="4"/>
      <c r="C11" s="5" t="s">
        <v>155</v>
      </c>
      <c r="D11" s="107">
        <v>0.18768750000000001</v>
      </c>
      <c r="E11" s="107">
        <v>5.1840030000000002E-2</v>
      </c>
      <c r="F11" s="107"/>
      <c r="G11" s="107">
        <v>0.1814289</v>
      </c>
      <c r="H11" s="107">
        <v>9.5415490000000006E-2</v>
      </c>
      <c r="I11" s="107"/>
      <c r="J11" s="107">
        <v>0.17877419999999999</v>
      </c>
      <c r="K11" s="107">
        <v>0.118247</v>
      </c>
      <c r="L11" s="107"/>
      <c r="M11" s="107">
        <v>0.17338492999999999</v>
      </c>
      <c r="N11" s="107">
        <v>0.14188220000000001</v>
      </c>
      <c r="O11" s="4"/>
      <c r="P11" s="1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">
      <c r="B12" s="4"/>
      <c r="C12" s="5" t="s">
        <v>156</v>
      </c>
      <c r="D12" s="107">
        <v>0.18798100000000001</v>
      </c>
      <c r="E12" s="107">
        <v>4.8871659999999997E-2</v>
      </c>
      <c r="F12" s="107"/>
      <c r="G12" s="107">
        <v>0.18172440000000001</v>
      </c>
      <c r="H12" s="107">
        <v>9.2466519999999996E-2</v>
      </c>
      <c r="I12" s="107"/>
      <c r="J12" s="107">
        <v>0.17914079999999999</v>
      </c>
      <c r="K12" s="107">
        <v>0.11462700000000001</v>
      </c>
      <c r="L12" s="107"/>
      <c r="M12" s="107">
        <v>0.17370584999999999</v>
      </c>
      <c r="N12" s="107">
        <v>0.13870270000000001</v>
      </c>
      <c r="O12" s="4"/>
      <c r="P12" s="1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">
      <c r="B13" s="4"/>
      <c r="C13" s="5" t="s">
        <v>158</v>
      </c>
      <c r="D13" s="107">
        <v>0.1840078</v>
      </c>
      <c r="E13" s="107">
        <v>8.865402E-2</v>
      </c>
      <c r="F13" s="107"/>
      <c r="G13" s="107">
        <v>0.17704610000000001</v>
      </c>
      <c r="H13" s="107">
        <v>0.13859231</v>
      </c>
      <c r="I13" s="107"/>
      <c r="J13" s="107">
        <v>0.17379169999999999</v>
      </c>
      <c r="K13" s="107">
        <v>0.16671140000000001</v>
      </c>
      <c r="L13" s="107"/>
      <c r="M13" s="107">
        <v>0.16814012</v>
      </c>
      <c r="N13" s="107">
        <v>0.1930123</v>
      </c>
      <c r="O13" s="4"/>
      <c r="P13" s="1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">
      <c r="B14" s="4"/>
      <c r="C14" s="5" t="s">
        <v>160</v>
      </c>
      <c r="D14" s="107">
        <v>0.18973770000000001</v>
      </c>
      <c r="E14" s="107">
        <v>3.1012390000000001E-2</v>
      </c>
      <c r="F14" s="107"/>
      <c r="G14" s="107">
        <v>0.18355199999999999</v>
      </c>
      <c r="H14" s="107">
        <v>7.4120080000000005E-2</v>
      </c>
      <c r="I14" s="107"/>
      <c r="J14" s="107">
        <v>0.18072160000000001</v>
      </c>
      <c r="K14" s="107">
        <v>9.8932199999999998E-2</v>
      </c>
      <c r="L14" s="107"/>
      <c r="M14" s="107">
        <v>0.17460134999999999</v>
      </c>
      <c r="N14" s="107">
        <v>0.12979950000000001</v>
      </c>
      <c r="O14" s="4"/>
      <c r="P14" s="1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">
      <c r="B15" s="4"/>
      <c r="C15" s="5" t="s">
        <v>157</v>
      </c>
      <c r="D15" s="107">
        <v>0.18636369999999999</v>
      </c>
      <c r="E15" s="107">
        <v>6.5168089999999998E-2</v>
      </c>
      <c r="F15" s="107"/>
      <c r="G15" s="107">
        <v>0.17262939999999999</v>
      </c>
      <c r="H15" s="107">
        <v>0.18103409000000001</v>
      </c>
      <c r="I15" s="107"/>
      <c r="J15" s="107">
        <v>0.169407</v>
      </c>
      <c r="K15" s="107">
        <v>0.2082282</v>
      </c>
      <c r="L15" s="107"/>
      <c r="M15" s="107">
        <v>0.15999689</v>
      </c>
      <c r="N15" s="107">
        <v>0.26928629999999998</v>
      </c>
      <c r="O15" s="4"/>
      <c r="P15" s="1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">
      <c r="B16" s="4"/>
      <c r="C16" s="5" t="s">
        <v>161</v>
      </c>
      <c r="D16" s="107">
        <v>0.18061099999999999</v>
      </c>
      <c r="E16" s="107">
        <v>0.12198992</v>
      </c>
      <c r="F16" s="107"/>
      <c r="G16" s="107">
        <v>0.18137049999999999</v>
      </c>
      <c r="H16" s="107">
        <v>9.599742E-2</v>
      </c>
      <c r="I16" s="107"/>
      <c r="J16" s="107">
        <v>0.178896</v>
      </c>
      <c r="K16" s="107">
        <v>0.1170451</v>
      </c>
      <c r="L16" s="107"/>
      <c r="M16" s="107">
        <v>0.17319766</v>
      </c>
      <c r="N16" s="107">
        <v>0.1437349</v>
      </c>
      <c r="O16" s="4"/>
      <c r="P16" s="1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">
      <c r="B17" s="4"/>
      <c r="C17" s="5" t="s">
        <v>162</v>
      </c>
      <c r="D17" s="107">
        <v>0.18056649999999999</v>
      </c>
      <c r="E17" s="107">
        <v>0.12242264999999999</v>
      </c>
      <c r="F17" s="107"/>
      <c r="G17" s="107">
        <v>0.17239019999999999</v>
      </c>
      <c r="H17" s="107">
        <v>0.18330233000000001</v>
      </c>
      <c r="I17" s="107"/>
      <c r="J17" s="107">
        <v>0.16542780000000001</v>
      </c>
      <c r="K17" s="107">
        <v>0.2449867</v>
      </c>
      <c r="L17" s="107"/>
      <c r="M17" s="107">
        <v>0.16161014000000001</v>
      </c>
      <c r="N17" s="107">
        <v>0.25447639999999999</v>
      </c>
      <c r="O17" s="4"/>
      <c r="P17" s="1"/>
      <c r="Q17" s="2"/>
      <c r="R17" s="2"/>
      <c r="S17" s="2"/>
      <c r="T17" s="2"/>
      <c r="U17" s="2"/>
      <c r="V17" s="2"/>
      <c r="W17" s="2"/>
      <c r="X17" s="2"/>
      <c r="Y17" s="2"/>
    </row>
    <row r="18" spans="1:25" ht="17" thickBot="1" x14ac:dyDescent="0.25">
      <c r="B18" s="4"/>
      <c r="C18" s="10" t="s">
        <v>159</v>
      </c>
      <c r="D18" s="108">
        <v>0.1180165</v>
      </c>
      <c r="E18" s="108">
        <v>0.62511607000000002</v>
      </c>
      <c r="F18" s="108"/>
      <c r="G18" s="108">
        <v>0.1053695</v>
      </c>
      <c r="H18" s="108">
        <v>0.69488337</v>
      </c>
      <c r="I18" s="108"/>
      <c r="J18" s="108">
        <v>8.4696199999999999E-2</v>
      </c>
      <c r="K18" s="108">
        <v>0.8020912</v>
      </c>
      <c r="L18" s="108"/>
      <c r="M18" s="108">
        <v>8.5029240000000006E-2</v>
      </c>
      <c r="N18" s="108">
        <v>0.79362330000000003</v>
      </c>
      <c r="O18" s="4"/>
    </row>
    <row r="19" spans="1:25" x14ac:dyDescent="0.2">
      <c r="A19" t="s">
        <v>154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25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25" x14ac:dyDescent="0.2">
      <c r="B21" s="4"/>
      <c r="C21" s="4" t="s">
        <v>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25" x14ac:dyDescent="0.2">
      <c r="B22" s="4"/>
      <c r="C22" s="3"/>
      <c r="D22" s="11"/>
      <c r="E22" s="11"/>
      <c r="F22" s="11"/>
      <c r="G22" s="11"/>
      <c r="H22" s="11"/>
      <c r="I22" s="11"/>
      <c r="J22" s="11"/>
      <c r="K22" s="11"/>
      <c r="L22" s="11"/>
      <c r="M22" s="4"/>
      <c r="N22" s="4"/>
      <c r="O22" s="4"/>
    </row>
    <row r="23" spans="1:25" ht="17" thickBot="1" x14ac:dyDescent="0.25">
      <c r="B23" s="3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4"/>
    </row>
    <row r="24" spans="1:25" x14ac:dyDescent="0.2">
      <c r="B24" s="4"/>
      <c r="C24" s="251" t="s">
        <v>0</v>
      </c>
      <c r="D24" s="252" t="s">
        <v>1</v>
      </c>
      <c r="E24" s="252"/>
      <c r="F24" s="6"/>
      <c r="G24" s="252" t="s">
        <v>2</v>
      </c>
      <c r="H24" s="252"/>
      <c r="I24" s="6"/>
      <c r="J24" s="252" t="s">
        <v>3</v>
      </c>
      <c r="K24" s="252"/>
      <c r="L24" s="6"/>
      <c r="M24" s="252" t="s">
        <v>4</v>
      </c>
      <c r="N24" s="252"/>
      <c r="O24" s="4"/>
    </row>
    <row r="25" spans="1:25" x14ac:dyDescent="0.2">
      <c r="B25" s="4"/>
      <c r="C25" s="252"/>
      <c r="D25" s="13" t="s">
        <v>41</v>
      </c>
      <c r="E25" s="13" t="s">
        <v>42</v>
      </c>
      <c r="F25" s="8"/>
      <c r="G25" s="13" t="s">
        <v>41</v>
      </c>
      <c r="H25" s="13" t="s">
        <v>42</v>
      </c>
      <c r="I25" s="8"/>
      <c r="J25" s="13" t="s">
        <v>41</v>
      </c>
      <c r="K25" s="13" t="s">
        <v>42</v>
      </c>
      <c r="L25" s="8"/>
      <c r="M25" s="13" t="s">
        <v>41</v>
      </c>
      <c r="N25" s="13" t="s">
        <v>42</v>
      </c>
      <c r="O25" s="4"/>
    </row>
    <row r="26" spans="1:25" x14ac:dyDescent="0.2">
      <c r="B26" s="4"/>
      <c r="C26" s="5" t="s">
        <v>155</v>
      </c>
      <c r="D26" s="107">
        <v>0.47836260000000003</v>
      </c>
      <c r="E26" s="107">
        <v>0.44541409999999998</v>
      </c>
      <c r="F26" s="107"/>
      <c r="G26" s="107">
        <v>0.48235289999999997</v>
      </c>
      <c r="H26" s="107">
        <v>0.45793210000000001</v>
      </c>
      <c r="I26" s="107"/>
      <c r="J26" s="107">
        <v>0.52774500000000002</v>
      </c>
      <c r="K26" s="107">
        <v>0.51086779999999998</v>
      </c>
      <c r="L26" s="107"/>
      <c r="M26" s="107">
        <v>0.54047619999999996</v>
      </c>
      <c r="N26" s="107">
        <v>0.52661550000000001</v>
      </c>
      <c r="O26" s="4"/>
    </row>
    <row r="27" spans="1:25" x14ac:dyDescent="0.2">
      <c r="B27" s="4"/>
      <c r="C27" s="5" t="s">
        <v>156</v>
      </c>
      <c r="D27" s="107">
        <v>0.47719299999999998</v>
      </c>
      <c r="E27" s="107">
        <v>0.44365270000000001</v>
      </c>
      <c r="F27" s="107"/>
      <c r="G27" s="107">
        <v>0.48470590000000002</v>
      </c>
      <c r="H27" s="107">
        <v>0.45869290000000001</v>
      </c>
      <c r="I27" s="107"/>
      <c r="J27" s="107">
        <v>0.52656429999999999</v>
      </c>
      <c r="K27" s="107">
        <v>0.51042379999999998</v>
      </c>
      <c r="L27" s="107"/>
      <c r="M27" s="107">
        <v>0.54166669999999995</v>
      </c>
      <c r="N27" s="107">
        <v>0.52782870000000004</v>
      </c>
      <c r="O27" s="4"/>
    </row>
    <row r="28" spans="1:25" x14ac:dyDescent="0.2">
      <c r="B28" s="4"/>
      <c r="C28" s="5" t="s">
        <v>158</v>
      </c>
      <c r="D28" s="107">
        <v>0.50409360000000003</v>
      </c>
      <c r="E28" s="107">
        <v>0.47119240000000001</v>
      </c>
      <c r="F28" s="107"/>
      <c r="G28" s="107">
        <v>0.53411759999999997</v>
      </c>
      <c r="H28" s="107">
        <v>0.51435169999999997</v>
      </c>
      <c r="I28" s="107"/>
      <c r="J28" s="107">
        <v>0.56552539999999996</v>
      </c>
      <c r="K28" s="107">
        <v>0.55023849999999996</v>
      </c>
      <c r="L28" s="107"/>
      <c r="M28" s="107">
        <v>0.58333330000000005</v>
      </c>
      <c r="N28" s="107">
        <v>0.57015539999999998</v>
      </c>
      <c r="O28" s="4"/>
    </row>
    <row r="29" spans="1:25" x14ac:dyDescent="0.2">
      <c r="B29" s="4"/>
      <c r="C29" s="5" t="s">
        <v>160</v>
      </c>
      <c r="D29" s="107">
        <v>0.46783629999999998</v>
      </c>
      <c r="E29" s="107">
        <v>0.40743380000000001</v>
      </c>
      <c r="F29" s="107"/>
      <c r="G29" s="107">
        <v>0.46470590000000001</v>
      </c>
      <c r="H29" s="107">
        <v>0.42507919999999999</v>
      </c>
      <c r="I29" s="107"/>
      <c r="J29" s="107">
        <v>0.50413220000000003</v>
      </c>
      <c r="K29" s="107">
        <v>0.48094500000000001</v>
      </c>
      <c r="L29" s="107"/>
      <c r="M29" s="107">
        <v>0.52619050000000001</v>
      </c>
      <c r="N29" s="107">
        <v>0.50647410000000004</v>
      </c>
      <c r="O29" s="4"/>
    </row>
    <row r="30" spans="1:25" x14ac:dyDescent="0.2">
      <c r="B30" s="4"/>
      <c r="C30" s="5" t="s">
        <v>157</v>
      </c>
      <c r="D30" s="107">
        <v>0.57309940000000004</v>
      </c>
      <c r="E30" s="107">
        <v>0.6942701</v>
      </c>
      <c r="F30" s="107"/>
      <c r="G30" s="107">
        <v>0.56705879999999997</v>
      </c>
      <c r="H30" s="107">
        <v>0.46203670000000002</v>
      </c>
      <c r="I30" s="107"/>
      <c r="J30" s="107">
        <v>0.57969300000000001</v>
      </c>
      <c r="K30" s="107">
        <v>0.46962090000000001</v>
      </c>
      <c r="L30" s="107"/>
      <c r="M30" s="107">
        <v>0.70119050000000005</v>
      </c>
      <c r="N30" s="107">
        <v>0.69003899999999996</v>
      </c>
      <c r="O30" s="4"/>
    </row>
    <row r="31" spans="1:25" x14ac:dyDescent="0.2">
      <c r="B31" s="4"/>
      <c r="C31" s="5" t="s">
        <v>161</v>
      </c>
      <c r="D31" s="107">
        <v>0.50292400000000004</v>
      </c>
      <c r="E31" s="107">
        <v>0.59903039999999996</v>
      </c>
      <c r="F31" s="107"/>
      <c r="G31" s="107">
        <v>0.50352940000000002</v>
      </c>
      <c r="H31" s="107">
        <v>0.58395220000000003</v>
      </c>
      <c r="I31" s="107"/>
      <c r="J31" s="107">
        <v>0.47461629999999999</v>
      </c>
      <c r="K31" s="107">
        <v>0.58127839999999997</v>
      </c>
      <c r="L31" s="107"/>
      <c r="M31" s="107">
        <v>0.57619050000000005</v>
      </c>
      <c r="N31" s="107">
        <v>0.55198659999999999</v>
      </c>
      <c r="O31" s="4"/>
    </row>
    <row r="32" spans="1:25" x14ac:dyDescent="0.2">
      <c r="B32" s="4"/>
      <c r="C32" s="5" t="s">
        <v>162</v>
      </c>
      <c r="D32" s="107">
        <v>0.55906429999999996</v>
      </c>
      <c r="E32" s="107">
        <v>0.55106880000000003</v>
      </c>
      <c r="F32" s="107"/>
      <c r="G32" s="107">
        <v>0.61411760000000004</v>
      </c>
      <c r="H32" s="107">
        <v>0.61028800000000005</v>
      </c>
      <c r="I32" s="107"/>
      <c r="J32" s="107">
        <v>0.64344749999999995</v>
      </c>
      <c r="K32" s="107">
        <v>0.63917900000000005</v>
      </c>
      <c r="L32" s="107"/>
      <c r="M32" s="107">
        <v>0.65476190000000001</v>
      </c>
      <c r="N32" s="107">
        <v>0.65361029999999998</v>
      </c>
      <c r="O32" s="4"/>
    </row>
    <row r="33" spans="1:26" ht="17" thickBot="1" x14ac:dyDescent="0.25">
      <c r="B33" s="4"/>
      <c r="C33" s="10" t="s">
        <v>159</v>
      </c>
      <c r="D33" s="108">
        <v>0.88304090000000002</v>
      </c>
      <c r="E33" s="108">
        <v>0.87325940000000002</v>
      </c>
      <c r="F33" s="108"/>
      <c r="G33" s="108">
        <v>0.90941179999999999</v>
      </c>
      <c r="H33" s="108">
        <v>0.90207190000000004</v>
      </c>
      <c r="I33" s="108"/>
      <c r="J33" s="108">
        <v>0.83234949999999996</v>
      </c>
      <c r="K33" s="108">
        <v>0.8099248</v>
      </c>
      <c r="L33" s="108"/>
      <c r="M33" s="108">
        <v>0.97857139999999998</v>
      </c>
      <c r="N33" s="108">
        <v>0.97709230000000002</v>
      </c>
      <c r="O33" s="4"/>
    </row>
    <row r="34" spans="1:26" x14ac:dyDescent="0.2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6" spans="1:26" x14ac:dyDescent="0.2">
      <c r="B36" s="1"/>
      <c r="C36" s="2"/>
      <c r="D36" s="2"/>
      <c r="E36" s="2"/>
      <c r="F36" s="2"/>
      <c r="G36" s="2"/>
      <c r="H36" s="2"/>
      <c r="I36" s="2"/>
      <c r="J36" s="2"/>
      <c r="K36" s="2"/>
    </row>
    <row r="37" spans="1:26" x14ac:dyDescent="0.2"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</row>
    <row r="38" spans="1:26" x14ac:dyDescent="0.2"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</row>
    <row r="39" spans="1:26" x14ac:dyDescent="0.2">
      <c r="A39" s="253" t="s">
        <v>363</v>
      </c>
      <c r="B39" s="253"/>
      <c r="C39" s="253"/>
      <c r="D39" s="253"/>
      <c r="E39" s="253"/>
      <c r="F39" s="2"/>
      <c r="G39" s="2"/>
      <c r="H39" s="2"/>
      <c r="I39" s="2"/>
      <c r="J39" s="2"/>
      <c r="K39" s="2"/>
      <c r="L39" s="2"/>
    </row>
    <row r="40" spans="1:26" x14ac:dyDescent="0.2">
      <c r="A40" s="4"/>
      <c r="B40" s="3"/>
      <c r="C40" s="3"/>
      <c r="D40" s="11"/>
      <c r="E40" s="11"/>
      <c r="F40" s="11"/>
      <c r="G40" s="11"/>
      <c r="H40" s="11"/>
      <c r="I40" s="11"/>
      <c r="J40" s="11"/>
      <c r="K40" s="11"/>
      <c r="L40" s="11"/>
      <c r="M40" s="4"/>
      <c r="N40" s="4"/>
      <c r="O40" s="4"/>
      <c r="P40" s="4"/>
    </row>
    <row r="41" spans="1:26" x14ac:dyDescent="0.2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P41" s="4"/>
    </row>
    <row r="42" spans="1:26" ht="17" thickBot="1" x14ac:dyDescent="0.25">
      <c r="B42" s="3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4"/>
      <c r="P42" s="4"/>
    </row>
    <row r="43" spans="1:26" x14ac:dyDescent="0.2">
      <c r="B43" s="4"/>
      <c r="C43" s="251" t="s">
        <v>0</v>
      </c>
      <c r="D43" s="252" t="s">
        <v>1</v>
      </c>
      <c r="E43" s="252"/>
      <c r="F43" s="6"/>
      <c r="G43" s="252" t="s">
        <v>2</v>
      </c>
      <c r="H43" s="252"/>
      <c r="I43" s="6"/>
      <c r="J43" s="252" t="s">
        <v>3</v>
      </c>
      <c r="K43" s="252"/>
      <c r="L43" s="6"/>
      <c r="M43" s="252" t="s">
        <v>4</v>
      </c>
      <c r="N43" s="252"/>
      <c r="O43" s="4"/>
      <c r="P43" s="4"/>
      <c r="Q43" s="1">
        <v>1</v>
      </c>
      <c r="R43" s="2" t="s">
        <v>155</v>
      </c>
      <c r="S43" s="2">
        <v>0.18034330000000001</v>
      </c>
      <c r="T43" s="2">
        <v>1.4544211E-2</v>
      </c>
      <c r="U43" s="2">
        <v>0.17814550000000001</v>
      </c>
      <c r="V43" s="2">
        <v>2.7618790000000001E-2</v>
      </c>
      <c r="W43" s="2">
        <v>0.17132710000000001</v>
      </c>
      <c r="X43" s="2">
        <v>6.3608529999999996E-2</v>
      </c>
      <c r="Y43" s="2">
        <v>0.16747690000000001</v>
      </c>
      <c r="Z43" s="2">
        <v>8.3421759999999998E-2</v>
      </c>
    </row>
    <row r="44" spans="1:26" x14ac:dyDescent="0.2">
      <c r="B44" s="4"/>
      <c r="C44" s="252"/>
      <c r="D44" s="7" t="s">
        <v>5</v>
      </c>
      <c r="E44" s="7" t="s">
        <v>6</v>
      </c>
      <c r="F44" s="8"/>
      <c r="G44" s="7" t="s">
        <v>5</v>
      </c>
      <c r="H44" s="7" t="s">
        <v>6</v>
      </c>
      <c r="I44" s="8"/>
      <c r="J44" s="7" t="s">
        <v>5</v>
      </c>
      <c r="K44" s="7" t="s">
        <v>6</v>
      </c>
      <c r="L44" s="8"/>
      <c r="M44" s="7" t="s">
        <v>5</v>
      </c>
      <c r="N44" s="7" t="s">
        <v>6</v>
      </c>
      <c r="O44" s="4"/>
      <c r="P44" s="4"/>
      <c r="Q44" s="1">
        <v>2</v>
      </c>
      <c r="R44" s="2" t="s">
        <v>156</v>
      </c>
      <c r="S44" s="2">
        <v>0.18044859999999999</v>
      </c>
      <c r="T44" s="2">
        <v>1.3393254E-2</v>
      </c>
      <c r="U44" s="2">
        <v>0.17827589999999999</v>
      </c>
      <c r="V44" s="2">
        <v>2.619461E-2</v>
      </c>
      <c r="W44" s="2">
        <v>0.17132259999999999</v>
      </c>
      <c r="X44" s="2">
        <v>6.365796E-2</v>
      </c>
      <c r="Y44" s="2">
        <v>0.1674668</v>
      </c>
      <c r="Z44" s="2">
        <v>8.3533250000000003E-2</v>
      </c>
    </row>
    <row r="45" spans="1:26" x14ac:dyDescent="0.2">
      <c r="B45" s="4"/>
      <c r="C45" s="5" t="s">
        <v>155</v>
      </c>
      <c r="D45" s="107">
        <v>0.18034330000000001</v>
      </c>
      <c r="E45" s="107">
        <v>1.4544211E-2</v>
      </c>
      <c r="F45" s="107"/>
      <c r="G45" s="107">
        <v>0.17814550000000001</v>
      </c>
      <c r="H45" s="107">
        <v>2.7618790000000001E-2</v>
      </c>
      <c r="I45" s="107"/>
      <c r="J45" s="107">
        <v>0.17132710000000001</v>
      </c>
      <c r="K45" s="107">
        <v>6.3608529999999996E-2</v>
      </c>
      <c r="L45" s="107"/>
      <c r="M45" s="107">
        <v>0.16747690000000001</v>
      </c>
      <c r="N45" s="107">
        <v>8.3421759999999998E-2</v>
      </c>
      <c r="O45" s="4"/>
      <c r="P45" s="4"/>
      <c r="Q45" s="1">
        <v>3</v>
      </c>
      <c r="R45" s="2" t="s">
        <v>158</v>
      </c>
      <c r="S45" s="2">
        <v>0.17766029999999999</v>
      </c>
      <c r="T45" s="2">
        <v>4.3647092999999998E-2</v>
      </c>
      <c r="U45" s="2">
        <v>0.17417550000000001</v>
      </c>
      <c r="V45" s="2">
        <v>7.0475469999999998E-2</v>
      </c>
      <c r="W45" s="2">
        <v>0.1684708</v>
      </c>
      <c r="X45" s="2">
        <v>9.4570509999999997E-2</v>
      </c>
      <c r="Y45" s="2">
        <v>0.16399259999999999</v>
      </c>
      <c r="Z45" s="2">
        <v>0.1211633</v>
      </c>
    </row>
    <row r="46" spans="1:26" x14ac:dyDescent="0.2">
      <c r="B46" s="4"/>
      <c r="C46" s="5" t="s">
        <v>156</v>
      </c>
      <c r="D46" s="107">
        <v>0.18044859999999999</v>
      </c>
      <c r="E46" s="107">
        <v>1.3393254E-2</v>
      </c>
      <c r="F46" s="107"/>
      <c r="G46" s="107">
        <v>0.17827589999999999</v>
      </c>
      <c r="H46" s="107">
        <v>2.619461E-2</v>
      </c>
      <c r="I46" s="107"/>
      <c r="J46" s="107">
        <v>0.17132259999999999</v>
      </c>
      <c r="K46" s="107">
        <v>6.365796E-2</v>
      </c>
      <c r="L46" s="107"/>
      <c r="M46" s="107">
        <v>0.1674668</v>
      </c>
      <c r="N46" s="107">
        <v>8.3533250000000003E-2</v>
      </c>
      <c r="O46" s="4"/>
      <c r="P46" s="4"/>
      <c r="Q46" s="1">
        <v>4</v>
      </c>
      <c r="R46" s="2" t="s">
        <v>160</v>
      </c>
      <c r="S46" s="2">
        <v>0.18149309999999999</v>
      </c>
      <c r="T46" s="2">
        <v>1.9380269999999999E-3</v>
      </c>
      <c r="U46" s="2">
        <v>0.17904110000000001</v>
      </c>
      <c r="V46" s="2">
        <v>1.7817300000000001E-2</v>
      </c>
      <c r="W46" s="2">
        <v>0.1719176</v>
      </c>
      <c r="X46" s="2">
        <v>5.7142360000000003E-2</v>
      </c>
      <c r="Y46" s="2">
        <v>0.16896069999999999</v>
      </c>
      <c r="Z46" s="2">
        <v>6.7108870000000001E-2</v>
      </c>
    </row>
    <row r="47" spans="1:26" x14ac:dyDescent="0.2">
      <c r="B47" s="4"/>
      <c r="C47" s="5" t="s">
        <v>158</v>
      </c>
      <c r="D47" s="107">
        <v>0.17766029999999999</v>
      </c>
      <c r="E47" s="107">
        <v>4.3647092999999998E-2</v>
      </c>
      <c r="F47" s="107"/>
      <c r="G47" s="107">
        <v>0.17417550000000001</v>
      </c>
      <c r="H47" s="107">
        <v>7.0475469999999998E-2</v>
      </c>
      <c r="I47" s="107"/>
      <c r="J47" s="107">
        <v>0.1684708</v>
      </c>
      <c r="K47" s="107">
        <v>9.4570509999999997E-2</v>
      </c>
      <c r="L47" s="107"/>
      <c r="M47" s="107">
        <v>0.16399259999999999</v>
      </c>
      <c r="N47" s="107">
        <v>0.1211633</v>
      </c>
      <c r="O47" s="4"/>
      <c r="P47" s="4"/>
      <c r="Q47" s="1">
        <v>5</v>
      </c>
      <c r="R47" s="2" t="s">
        <v>157</v>
      </c>
      <c r="S47" s="2">
        <v>0.1799907</v>
      </c>
      <c r="T47" s="2">
        <v>1.8393514999999999E-2</v>
      </c>
      <c r="U47" s="2">
        <v>0.17139869999999999</v>
      </c>
      <c r="V47" s="2">
        <v>9.9876839999999995E-2</v>
      </c>
      <c r="W47" s="2">
        <v>0.16460749999999999</v>
      </c>
      <c r="X47" s="2">
        <v>0.13562066</v>
      </c>
      <c r="Y47" s="2">
        <v>0.16066569999999999</v>
      </c>
      <c r="Z47" s="2">
        <v>0.15646013</v>
      </c>
    </row>
    <row r="48" spans="1:26" x14ac:dyDescent="0.2">
      <c r="B48" s="4"/>
      <c r="C48" s="5" t="s">
        <v>160</v>
      </c>
      <c r="D48" s="107">
        <v>0.18149309999999999</v>
      </c>
      <c r="E48" s="107">
        <v>1.9380269999999999E-3</v>
      </c>
      <c r="F48" s="107"/>
      <c r="G48" s="107">
        <v>0.17904110000000001</v>
      </c>
      <c r="H48" s="107">
        <v>1.7817300000000001E-2</v>
      </c>
      <c r="I48" s="107"/>
      <c r="J48" s="107">
        <v>0.1719176</v>
      </c>
      <c r="K48" s="107">
        <v>5.7142360000000003E-2</v>
      </c>
      <c r="L48" s="107"/>
      <c r="M48" s="107">
        <v>0.16896069999999999</v>
      </c>
      <c r="N48" s="107">
        <v>6.7108870000000001E-2</v>
      </c>
      <c r="O48" s="4"/>
      <c r="P48" s="4"/>
      <c r="Q48" s="1">
        <v>6</v>
      </c>
      <c r="R48" s="2" t="s">
        <v>161</v>
      </c>
      <c r="S48" s="2">
        <v>0.17394950000000001</v>
      </c>
      <c r="T48" s="2">
        <v>8.3180774999999998E-2</v>
      </c>
      <c r="U48" s="2">
        <v>0.1707822</v>
      </c>
      <c r="V48" s="2">
        <v>0.10634074</v>
      </c>
      <c r="W48" s="2">
        <v>0.17100940000000001</v>
      </c>
      <c r="X48" s="2">
        <v>6.7077579999999998E-2</v>
      </c>
      <c r="Y48" s="2">
        <v>0.17034830000000001</v>
      </c>
      <c r="Z48" s="2">
        <v>5.1722959999999998E-2</v>
      </c>
    </row>
    <row r="49" spans="1:26" x14ac:dyDescent="0.2">
      <c r="B49" s="4"/>
      <c r="C49" s="5" t="s">
        <v>157</v>
      </c>
      <c r="D49" s="107">
        <v>0.1799907</v>
      </c>
      <c r="E49" s="107">
        <v>1.8393514999999999E-2</v>
      </c>
      <c r="F49" s="107"/>
      <c r="G49" s="107">
        <v>0.17139869999999999</v>
      </c>
      <c r="H49" s="107">
        <v>9.9876839999999995E-2</v>
      </c>
      <c r="I49" s="107"/>
      <c r="J49" s="107">
        <v>0.16460749999999999</v>
      </c>
      <c r="K49" s="107">
        <v>0.13562066</v>
      </c>
      <c r="L49" s="107"/>
      <c r="M49" s="107">
        <v>0.16066569999999999</v>
      </c>
      <c r="N49" s="107">
        <v>0.15646013</v>
      </c>
      <c r="O49" s="4"/>
      <c r="P49" s="4"/>
      <c r="Q49" s="1">
        <v>7</v>
      </c>
      <c r="R49" s="2" t="s">
        <v>162</v>
      </c>
      <c r="S49" s="2">
        <v>0.1819259</v>
      </c>
      <c r="T49" s="2">
        <v>-2.8280900000000001E-3</v>
      </c>
      <c r="U49" s="2">
        <v>0.16907249999999999</v>
      </c>
      <c r="V49" s="2">
        <v>0.12414353</v>
      </c>
      <c r="W49" s="2">
        <v>0.1587131</v>
      </c>
      <c r="X49" s="2">
        <v>0.19641691</v>
      </c>
      <c r="Y49" s="2">
        <v>0.15763869999999999</v>
      </c>
      <c r="Z49" s="2">
        <v>0.18794506</v>
      </c>
    </row>
    <row r="50" spans="1:26" x14ac:dyDescent="0.2">
      <c r="B50" s="4"/>
      <c r="C50" s="5" t="s">
        <v>161</v>
      </c>
      <c r="D50" s="107">
        <v>0.17394950000000001</v>
      </c>
      <c r="E50" s="107">
        <v>8.3180774999999998E-2</v>
      </c>
      <c r="F50" s="107"/>
      <c r="G50" s="107">
        <v>0.1707822</v>
      </c>
      <c r="H50" s="107">
        <v>0.10634074</v>
      </c>
      <c r="I50" s="107"/>
      <c r="J50" s="107">
        <v>0.17100940000000001</v>
      </c>
      <c r="K50" s="107">
        <v>6.7077579999999998E-2</v>
      </c>
      <c r="L50" s="107"/>
      <c r="M50" s="107">
        <v>0.17034830000000001</v>
      </c>
      <c r="N50" s="107">
        <v>5.1722959999999998E-2</v>
      </c>
      <c r="O50" s="4"/>
      <c r="P50" s="4"/>
      <c r="Q50" s="1">
        <v>8</v>
      </c>
      <c r="R50" s="2" t="s">
        <v>364</v>
      </c>
      <c r="S50" s="2">
        <v>0.1495484</v>
      </c>
      <c r="T50" s="2">
        <v>0.32235746300000001</v>
      </c>
      <c r="U50" s="2">
        <v>0.14671100000000001</v>
      </c>
      <c r="V50" s="2">
        <v>0.34050419999999998</v>
      </c>
      <c r="W50" s="2">
        <v>0.12439600000000001</v>
      </c>
      <c r="X50" s="2">
        <v>0.50635083999999997</v>
      </c>
      <c r="Y50" s="2">
        <v>0.10047730000000001</v>
      </c>
      <c r="Z50" s="2">
        <v>0.67009006999999998</v>
      </c>
    </row>
    <row r="51" spans="1:26" x14ac:dyDescent="0.2">
      <c r="B51" s="4"/>
      <c r="C51" s="5" t="s">
        <v>162</v>
      </c>
      <c r="D51" s="107">
        <v>0.1819259</v>
      </c>
      <c r="E51" s="107">
        <v>-2.8280900000000001E-3</v>
      </c>
      <c r="F51" s="107"/>
      <c r="G51" s="107">
        <v>0.16907249999999999</v>
      </c>
      <c r="H51" s="107">
        <v>0.12414353</v>
      </c>
      <c r="I51" s="107"/>
      <c r="J51" s="107">
        <v>0.1587131</v>
      </c>
      <c r="K51" s="107">
        <v>0.19641691</v>
      </c>
      <c r="L51" s="107"/>
      <c r="M51" s="107">
        <v>0.15763869999999999</v>
      </c>
      <c r="N51" s="107">
        <v>0.18794506</v>
      </c>
      <c r="O51" s="4"/>
      <c r="P51" s="4"/>
    </row>
    <row r="52" spans="1:26" ht="17" thickBot="1" x14ac:dyDescent="0.25">
      <c r="B52" s="4"/>
      <c r="C52" s="10" t="s">
        <v>159</v>
      </c>
      <c r="D52" s="108">
        <v>0.1495484</v>
      </c>
      <c r="E52" s="108">
        <v>0.32235746300000001</v>
      </c>
      <c r="F52" s="108"/>
      <c r="G52" s="108">
        <v>0.14671100000000001</v>
      </c>
      <c r="H52" s="108">
        <v>0.34050419999999998</v>
      </c>
      <c r="I52" s="108"/>
      <c r="J52" s="108">
        <v>0.12439600000000001</v>
      </c>
      <c r="K52" s="108">
        <v>0.50635083999999997</v>
      </c>
      <c r="L52" s="108"/>
      <c r="M52" s="108">
        <v>0.10047730000000001</v>
      </c>
      <c r="N52" s="108">
        <v>0.67009006999999998</v>
      </c>
      <c r="O52" s="4"/>
      <c r="P52" s="4"/>
    </row>
    <row r="53" spans="1:26" x14ac:dyDescent="0.2">
      <c r="A53" t="s">
        <v>154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26" x14ac:dyDescent="0.2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26" x14ac:dyDescent="0.2">
      <c r="B55" s="4"/>
      <c r="C55" s="4" t="s">
        <v>7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26" x14ac:dyDescent="0.2">
      <c r="B56" s="4"/>
      <c r="C56" s="3"/>
      <c r="D56" s="11"/>
      <c r="E56" s="11"/>
      <c r="F56" s="11"/>
      <c r="G56" s="11"/>
      <c r="H56" s="11"/>
      <c r="I56" s="11"/>
      <c r="J56" s="11"/>
      <c r="K56" s="11"/>
      <c r="L56" s="11"/>
      <c r="M56" s="4"/>
      <c r="N56" s="4"/>
      <c r="O56" s="4"/>
      <c r="P56" s="4"/>
    </row>
    <row r="57" spans="1:26" ht="17" thickBot="1" x14ac:dyDescent="0.25">
      <c r="B57" s="3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4"/>
      <c r="P57" s="4"/>
    </row>
    <row r="58" spans="1:26" x14ac:dyDescent="0.2">
      <c r="B58" s="4"/>
      <c r="C58" s="251" t="s">
        <v>0</v>
      </c>
      <c r="D58" s="252" t="s">
        <v>1</v>
      </c>
      <c r="E58" s="252"/>
      <c r="F58" s="6"/>
      <c r="G58" s="252" t="s">
        <v>2</v>
      </c>
      <c r="H58" s="252"/>
      <c r="I58" s="6"/>
      <c r="J58" s="252" t="s">
        <v>3</v>
      </c>
      <c r="K58" s="252"/>
      <c r="L58" s="6"/>
      <c r="M58" s="252" t="s">
        <v>4</v>
      </c>
      <c r="N58" s="252"/>
      <c r="O58" s="4"/>
      <c r="P58" s="4"/>
    </row>
    <row r="59" spans="1:26" x14ac:dyDescent="0.2">
      <c r="B59" s="4"/>
      <c r="C59" s="252"/>
      <c r="D59" s="13" t="s">
        <v>41</v>
      </c>
      <c r="E59" s="13" t="s">
        <v>42</v>
      </c>
      <c r="F59" s="8"/>
      <c r="G59" s="13" t="s">
        <v>41</v>
      </c>
      <c r="H59" s="13" t="s">
        <v>42</v>
      </c>
      <c r="I59" s="8"/>
      <c r="J59" s="13" t="s">
        <v>41</v>
      </c>
      <c r="K59" s="13" t="s">
        <v>42</v>
      </c>
      <c r="L59" s="8"/>
      <c r="M59" s="13" t="s">
        <v>41</v>
      </c>
      <c r="N59" s="13" t="s">
        <v>42</v>
      </c>
      <c r="O59" s="4"/>
      <c r="P59" s="4"/>
      <c r="Q59" s="1">
        <v>1</v>
      </c>
      <c r="R59" s="2" t="s">
        <v>155</v>
      </c>
      <c r="S59" s="2">
        <v>0.40039249999999998</v>
      </c>
      <c r="T59" s="2">
        <v>0.31768750000000001</v>
      </c>
      <c r="U59" s="2">
        <v>0.40751730000000003</v>
      </c>
      <c r="V59" s="2">
        <v>0.33529340000000002</v>
      </c>
      <c r="W59" s="2">
        <v>0.44011980000000001</v>
      </c>
      <c r="X59" s="2">
        <v>0.38901340000000001</v>
      </c>
      <c r="Y59" s="2">
        <v>0.4678715</v>
      </c>
      <c r="Z59" s="2">
        <v>0.42664299999999999</v>
      </c>
    </row>
    <row r="60" spans="1:26" x14ac:dyDescent="0.2">
      <c r="B60" s="4"/>
      <c r="C60" s="5" t="s">
        <v>155</v>
      </c>
      <c r="D60" s="107">
        <v>0.40039249999999998</v>
      </c>
      <c r="E60" s="107">
        <v>0.31768750000000001</v>
      </c>
      <c r="F60" s="107"/>
      <c r="G60" s="107">
        <v>0.40751730000000003</v>
      </c>
      <c r="H60" s="107">
        <v>0.33529340000000002</v>
      </c>
      <c r="I60" s="107"/>
      <c r="J60" s="107">
        <v>0.44011980000000001</v>
      </c>
      <c r="K60" s="107">
        <v>0.38901340000000001</v>
      </c>
      <c r="L60" s="107"/>
      <c r="M60" s="107">
        <v>0.4678715</v>
      </c>
      <c r="N60" s="107">
        <v>0.42664299999999999</v>
      </c>
      <c r="O60" s="4"/>
      <c r="P60" s="4"/>
      <c r="Q60" s="1">
        <v>2</v>
      </c>
      <c r="R60" s="2" t="s">
        <v>156</v>
      </c>
      <c r="S60" s="2">
        <v>0.40039249999999998</v>
      </c>
      <c r="T60" s="2">
        <v>0.31753969999999998</v>
      </c>
      <c r="U60" s="2">
        <v>0.40257169999999998</v>
      </c>
      <c r="V60" s="2">
        <v>0.32970139999999998</v>
      </c>
      <c r="W60" s="2">
        <v>0.43812380000000001</v>
      </c>
      <c r="X60" s="2">
        <v>0.38735170000000002</v>
      </c>
      <c r="Y60" s="2">
        <v>0.4688755</v>
      </c>
      <c r="Z60" s="2">
        <v>0.4262475</v>
      </c>
    </row>
    <row r="61" spans="1:26" x14ac:dyDescent="0.2">
      <c r="B61" s="4"/>
      <c r="C61" s="5" t="s">
        <v>156</v>
      </c>
      <c r="D61" s="107">
        <v>0.40039249999999998</v>
      </c>
      <c r="E61" s="107">
        <v>0.31753969999999998</v>
      </c>
      <c r="F61" s="107"/>
      <c r="G61" s="107">
        <v>0.40257169999999998</v>
      </c>
      <c r="H61" s="107">
        <v>0.32970139999999998</v>
      </c>
      <c r="I61" s="107"/>
      <c r="J61" s="107">
        <v>0.43812380000000001</v>
      </c>
      <c r="K61" s="107">
        <v>0.38735170000000002</v>
      </c>
      <c r="L61" s="107"/>
      <c r="M61" s="107">
        <v>0.4688755</v>
      </c>
      <c r="N61" s="107">
        <v>0.4262475</v>
      </c>
      <c r="O61" s="4"/>
      <c r="P61" s="4"/>
      <c r="Q61" s="1">
        <v>3</v>
      </c>
      <c r="R61" s="2" t="s">
        <v>158</v>
      </c>
      <c r="S61" s="2">
        <v>0.42394500000000002</v>
      </c>
      <c r="T61" s="2">
        <v>0.34738590000000003</v>
      </c>
      <c r="U61" s="2">
        <v>0.4243323</v>
      </c>
      <c r="V61" s="2">
        <v>0.3635621</v>
      </c>
      <c r="W61" s="2">
        <v>0.46007979999999998</v>
      </c>
      <c r="X61" s="2">
        <v>0.4173306</v>
      </c>
      <c r="Y61" s="2">
        <v>0.48795179999999999</v>
      </c>
      <c r="Z61" s="2">
        <v>0.44963789999999998</v>
      </c>
    </row>
    <row r="62" spans="1:26" x14ac:dyDescent="0.2">
      <c r="B62" s="4"/>
      <c r="C62" s="5" t="s">
        <v>158</v>
      </c>
      <c r="D62" s="107">
        <v>0.42394500000000002</v>
      </c>
      <c r="E62" s="107">
        <v>0.34738590000000003</v>
      </c>
      <c r="F62" s="107"/>
      <c r="G62" s="107">
        <v>0.4243323</v>
      </c>
      <c r="H62" s="107">
        <v>0.3635621</v>
      </c>
      <c r="I62" s="107"/>
      <c r="J62" s="107">
        <v>0.46007979999999998</v>
      </c>
      <c r="K62" s="107">
        <v>0.4173306</v>
      </c>
      <c r="L62" s="107"/>
      <c r="M62" s="107">
        <v>0.48795179999999999</v>
      </c>
      <c r="N62" s="107">
        <v>0.44963789999999998</v>
      </c>
      <c r="O62" s="4"/>
      <c r="P62" s="4"/>
      <c r="Q62" s="1">
        <v>4</v>
      </c>
      <c r="R62" s="2" t="s">
        <v>160</v>
      </c>
      <c r="S62" s="2">
        <v>0.35132479999999999</v>
      </c>
      <c r="T62" s="2">
        <v>0.37889260000000002</v>
      </c>
      <c r="U62" s="2">
        <v>0.38872400000000001</v>
      </c>
      <c r="V62" s="2">
        <v>0.3049212</v>
      </c>
      <c r="W62" s="2">
        <v>0.43413170000000001</v>
      </c>
      <c r="X62" s="2">
        <v>0.37095020000000001</v>
      </c>
      <c r="Y62" s="2">
        <v>0.45682729999999999</v>
      </c>
      <c r="Z62" s="2">
        <v>0.40440900000000002</v>
      </c>
    </row>
    <row r="63" spans="1:26" x14ac:dyDescent="0.2">
      <c r="B63" s="4"/>
      <c r="C63" s="5" t="s">
        <v>160</v>
      </c>
      <c r="D63" s="107">
        <v>0.35132479999999999</v>
      </c>
      <c r="E63" s="107">
        <v>0.37889260000000002</v>
      </c>
      <c r="F63" s="107"/>
      <c r="G63" s="107">
        <v>0.38872400000000001</v>
      </c>
      <c r="H63" s="107">
        <v>0.3049212</v>
      </c>
      <c r="I63" s="107"/>
      <c r="J63" s="107">
        <v>0.43413170000000001</v>
      </c>
      <c r="K63" s="107">
        <v>0.37095020000000001</v>
      </c>
      <c r="L63" s="107"/>
      <c r="M63" s="107">
        <v>0.45682729999999999</v>
      </c>
      <c r="N63" s="107">
        <v>0.40440900000000002</v>
      </c>
      <c r="O63" s="4"/>
      <c r="P63" s="4"/>
      <c r="Q63" s="1">
        <v>5</v>
      </c>
      <c r="R63" s="2" t="s">
        <v>157</v>
      </c>
      <c r="S63" s="2">
        <v>0.57998039999999995</v>
      </c>
      <c r="T63" s="2">
        <v>0.69289959999999995</v>
      </c>
      <c r="U63" s="2">
        <v>0.59149359999999995</v>
      </c>
      <c r="V63" s="2">
        <v>0.70441860000000001</v>
      </c>
      <c r="W63" s="2">
        <v>0.55788420000000005</v>
      </c>
      <c r="X63" s="2">
        <v>0.66533359999999997</v>
      </c>
      <c r="Y63" s="2">
        <v>0.67269080000000003</v>
      </c>
      <c r="Z63" s="2">
        <v>0.61891739999999995</v>
      </c>
    </row>
    <row r="64" spans="1:26" x14ac:dyDescent="0.2">
      <c r="B64" s="4"/>
      <c r="C64" s="5" t="s">
        <v>157</v>
      </c>
      <c r="D64" s="107">
        <v>0.57998039999999995</v>
      </c>
      <c r="E64" s="107">
        <v>0.69289959999999995</v>
      </c>
      <c r="F64" s="107"/>
      <c r="G64" s="107">
        <v>0.59149359999999995</v>
      </c>
      <c r="H64" s="107">
        <v>0.70441860000000001</v>
      </c>
      <c r="I64" s="107"/>
      <c r="J64" s="107">
        <v>0.55788420000000005</v>
      </c>
      <c r="K64" s="107">
        <v>0.66533359999999997</v>
      </c>
      <c r="L64" s="107"/>
      <c r="M64" s="107">
        <v>0.67269080000000003</v>
      </c>
      <c r="N64" s="107">
        <v>0.61891739999999995</v>
      </c>
      <c r="O64" s="4"/>
      <c r="P64" s="4"/>
      <c r="Q64" s="1">
        <v>6</v>
      </c>
      <c r="R64" s="2" t="s">
        <v>161</v>
      </c>
      <c r="S64" s="2">
        <v>0.48478900000000003</v>
      </c>
      <c r="T64" s="2">
        <v>0.54767940000000004</v>
      </c>
      <c r="U64" s="2">
        <v>0.46290799999999999</v>
      </c>
      <c r="V64" s="2">
        <v>0.42622919999999997</v>
      </c>
      <c r="W64" s="2">
        <v>0.498004</v>
      </c>
      <c r="X64" s="2">
        <v>0.57249130000000004</v>
      </c>
      <c r="Y64" s="2">
        <v>0.4799197</v>
      </c>
      <c r="Z64" s="2">
        <v>0.55950440000000001</v>
      </c>
    </row>
    <row r="65" spans="2:26" x14ac:dyDescent="0.2">
      <c r="B65" s="4"/>
      <c r="C65" s="5" t="s">
        <v>161</v>
      </c>
      <c r="D65" s="107">
        <v>0.48478900000000003</v>
      </c>
      <c r="E65" s="107">
        <v>0.54767940000000004</v>
      </c>
      <c r="F65" s="107"/>
      <c r="G65" s="107">
        <v>0.46290799999999999</v>
      </c>
      <c r="H65" s="107">
        <v>0.42622919999999997</v>
      </c>
      <c r="I65" s="107"/>
      <c r="J65" s="107">
        <v>0.498004</v>
      </c>
      <c r="K65" s="107">
        <v>0.57249130000000004</v>
      </c>
      <c r="L65" s="107"/>
      <c r="M65" s="107">
        <v>0.4799197</v>
      </c>
      <c r="N65" s="107">
        <v>0.55950440000000001</v>
      </c>
      <c r="O65" s="4"/>
      <c r="P65" s="4"/>
      <c r="Q65" s="1">
        <v>7</v>
      </c>
      <c r="R65" s="2" t="s">
        <v>162</v>
      </c>
      <c r="S65" s="2">
        <v>0.4779195</v>
      </c>
      <c r="T65" s="2">
        <v>0.41972490000000001</v>
      </c>
      <c r="U65" s="2">
        <v>0.49950539999999999</v>
      </c>
      <c r="V65" s="2">
        <v>0.44192300000000001</v>
      </c>
      <c r="W65" s="2">
        <v>0.5568862</v>
      </c>
      <c r="X65" s="2">
        <v>0.52947129999999998</v>
      </c>
      <c r="Y65" s="2">
        <v>0.57630519999999996</v>
      </c>
      <c r="Z65" s="2">
        <v>0.56982279999999996</v>
      </c>
    </row>
    <row r="66" spans="2:26" x14ac:dyDescent="0.2">
      <c r="B66" s="4"/>
      <c r="C66" s="5" t="s">
        <v>162</v>
      </c>
      <c r="D66" s="107">
        <v>0.4779195</v>
      </c>
      <c r="E66" s="107">
        <v>0.41972490000000001</v>
      </c>
      <c r="F66" s="107"/>
      <c r="G66" s="107">
        <v>0.49950539999999999</v>
      </c>
      <c r="H66" s="107">
        <v>0.44192300000000001</v>
      </c>
      <c r="I66" s="107"/>
      <c r="J66" s="107">
        <v>0.5568862</v>
      </c>
      <c r="K66" s="107">
        <v>0.52947129999999998</v>
      </c>
      <c r="L66" s="107"/>
      <c r="M66" s="107">
        <v>0.57630519999999996</v>
      </c>
      <c r="N66" s="107">
        <v>0.56982279999999996</v>
      </c>
      <c r="O66" s="4"/>
      <c r="P66" s="4"/>
      <c r="Q66" s="1">
        <v>8</v>
      </c>
      <c r="R66" s="2" t="s">
        <v>364</v>
      </c>
      <c r="S66" s="2">
        <v>0.6840039</v>
      </c>
      <c r="T66" s="2">
        <v>0.80503460000000004</v>
      </c>
      <c r="U66" s="2">
        <v>0.77448070000000002</v>
      </c>
      <c r="V66" s="2">
        <v>0.72077749999999996</v>
      </c>
      <c r="W66" s="2">
        <v>0.6656687</v>
      </c>
      <c r="X66" s="2">
        <v>0.5656407</v>
      </c>
      <c r="Y66" s="2">
        <v>0.91867469999999996</v>
      </c>
      <c r="Z66" s="2">
        <v>0.91042160000000005</v>
      </c>
    </row>
    <row r="67" spans="2:26" ht="17" thickBot="1" x14ac:dyDescent="0.25">
      <c r="B67" s="4"/>
      <c r="C67" s="10" t="s">
        <v>159</v>
      </c>
      <c r="D67" s="108">
        <v>0.6840039</v>
      </c>
      <c r="E67" s="108">
        <v>0.80503460000000004</v>
      </c>
      <c r="F67" s="108"/>
      <c r="G67" s="108">
        <v>0.77448070000000002</v>
      </c>
      <c r="H67" s="108">
        <v>0.72077749999999996</v>
      </c>
      <c r="I67" s="108"/>
      <c r="J67" s="108">
        <v>0.6656687</v>
      </c>
      <c r="K67" s="108">
        <v>0.5656407</v>
      </c>
      <c r="L67" s="108"/>
      <c r="M67" s="108">
        <v>0.91867469999999996</v>
      </c>
      <c r="N67" s="108">
        <v>0.91042160000000005</v>
      </c>
      <c r="O67" s="4"/>
      <c r="P67" s="4"/>
    </row>
    <row r="68" spans="2:26" x14ac:dyDescent="0.2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75" spans="2:26" x14ac:dyDescent="0.2">
      <c r="B75" s="1">
        <v>1</v>
      </c>
      <c r="C75" s="2" t="s">
        <v>155</v>
      </c>
      <c r="D75" s="2">
        <v>0.49067709999999998</v>
      </c>
      <c r="E75" s="2">
        <v>0.28033069999999999</v>
      </c>
      <c r="F75" s="2">
        <v>0.48664689999999999</v>
      </c>
      <c r="G75" s="2">
        <v>0.31126029999999999</v>
      </c>
      <c r="H75" s="2">
        <v>0.51397210000000004</v>
      </c>
      <c r="I75" s="2">
        <v>0.37853999999999999</v>
      </c>
      <c r="J75" s="2">
        <v>0.5321285</v>
      </c>
      <c r="K75" s="2">
        <v>0.4195604</v>
      </c>
    </row>
    <row r="76" spans="2:26" x14ac:dyDescent="0.2">
      <c r="B76" s="1">
        <v>2</v>
      </c>
      <c r="C76" s="2" t="s">
        <v>156</v>
      </c>
      <c r="D76" s="2">
        <v>0.49067709999999998</v>
      </c>
      <c r="E76" s="2">
        <v>0.28033069999999999</v>
      </c>
      <c r="F76" s="2">
        <v>0.48862509999999998</v>
      </c>
      <c r="G76" s="2">
        <v>0.31018469999999998</v>
      </c>
      <c r="H76" s="2">
        <v>0.51497009999999999</v>
      </c>
      <c r="I76" s="2">
        <v>0.37751780000000001</v>
      </c>
      <c r="J76" s="2">
        <v>0.53012049999999999</v>
      </c>
      <c r="K76" s="2">
        <v>0.40886020000000001</v>
      </c>
    </row>
    <row r="77" spans="2:26" x14ac:dyDescent="0.2">
      <c r="B77" s="1">
        <v>3</v>
      </c>
      <c r="C77" s="2" t="s">
        <v>158</v>
      </c>
      <c r="D77" s="2">
        <v>0.50245340000000005</v>
      </c>
      <c r="E77" s="2">
        <v>0.30896309999999999</v>
      </c>
      <c r="F77" s="2">
        <v>0.51434219999999997</v>
      </c>
      <c r="G77" s="2">
        <v>0.36331210000000003</v>
      </c>
      <c r="H77" s="2">
        <v>0.52794410000000003</v>
      </c>
      <c r="I77" s="2">
        <v>0.40275129999999998</v>
      </c>
      <c r="J77" s="2">
        <v>0.56124499999999999</v>
      </c>
      <c r="K77" s="2">
        <v>0.46438010000000002</v>
      </c>
    </row>
    <row r="78" spans="2:26" x14ac:dyDescent="0.2">
      <c r="B78" s="1">
        <v>4</v>
      </c>
      <c r="C78" s="2" t="s">
        <v>160</v>
      </c>
      <c r="D78" s="2">
        <v>0.48478900000000003</v>
      </c>
      <c r="E78" s="2">
        <v>0.35354089999999999</v>
      </c>
      <c r="F78" s="2">
        <v>0.48763600000000001</v>
      </c>
      <c r="G78" s="2">
        <v>0.26314690000000002</v>
      </c>
      <c r="H78" s="2">
        <v>0.50798399999999999</v>
      </c>
      <c r="I78" s="2">
        <v>0.35026879999999999</v>
      </c>
      <c r="J78" s="2">
        <v>0.51204819999999995</v>
      </c>
      <c r="K78" s="2">
        <v>0.34384429999999999</v>
      </c>
    </row>
    <row r="79" spans="2:26" x14ac:dyDescent="0.2">
      <c r="B79" s="1">
        <v>5</v>
      </c>
      <c r="C79" s="2" t="s">
        <v>418</v>
      </c>
      <c r="D79" s="2">
        <v>0.53189399999999998</v>
      </c>
      <c r="E79" s="2">
        <v>0.42802699999999999</v>
      </c>
      <c r="F79" s="2">
        <v>0.56676559999999998</v>
      </c>
      <c r="G79" s="2">
        <v>0.49033870000000002</v>
      </c>
      <c r="H79" s="2">
        <v>0.57784429999999998</v>
      </c>
      <c r="I79" s="2">
        <v>0.51500100000000004</v>
      </c>
      <c r="J79" s="2">
        <v>0.61144580000000004</v>
      </c>
      <c r="K79" s="2">
        <v>0.57303649999999995</v>
      </c>
    </row>
    <row r="80" spans="2:26" x14ac:dyDescent="0.2">
      <c r="B80" s="1">
        <v>6</v>
      </c>
      <c r="C80" s="2" t="s">
        <v>161</v>
      </c>
      <c r="D80" s="2">
        <v>0.47595680000000001</v>
      </c>
      <c r="E80" s="2">
        <v>0.64494680000000004</v>
      </c>
      <c r="F80" s="2">
        <v>0.54203760000000001</v>
      </c>
      <c r="G80" s="2">
        <v>0.3804341</v>
      </c>
      <c r="H80" s="2">
        <v>0.496008</v>
      </c>
      <c r="I80" s="2">
        <v>0.46806500000000001</v>
      </c>
      <c r="J80" s="2">
        <v>0.54317269999999995</v>
      </c>
      <c r="K80" s="2">
        <v>0.56804619999999995</v>
      </c>
    </row>
    <row r="81" spans="1:16" x14ac:dyDescent="0.2">
      <c r="B81" s="1">
        <v>7</v>
      </c>
      <c r="C81" s="2" t="s">
        <v>162</v>
      </c>
      <c r="D81" s="2">
        <v>0.55446519999999999</v>
      </c>
      <c r="E81" s="2">
        <v>0.41056680000000001</v>
      </c>
      <c r="F81" s="2">
        <v>0.56775469999999995</v>
      </c>
      <c r="G81" s="2">
        <v>0.47045779999999998</v>
      </c>
      <c r="H81" s="2">
        <v>0.63373250000000003</v>
      </c>
      <c r="I81" s="2">
        <v>0.59167519999999996</v>
      </c>
      <c r="J81" s="2">
        <v>0.64156630000000003</v>
      </c>
      <c r="K81" s="2">
        <v>0.60165829999999998</v>
      </c>
    </row>
    <row r="82" spans="1:16" x14ac:dyDescent="0.2">
      <c r="B82" s="1">
        <v>8</v>
      </c>
      <c r="C82" s="2" t="s">
        <v>364</v>
      </c>
      <c r="D82" s="2">
        <v>0.67909719999999996</v>
      </c>
      <c r="E82" s="2">
        <v>0.55509770000000003</v>
      </c>
      <c r="F82" s="2">
        <v>0.84866470000000005</v>
      </c>
      <c r="G82" s="2">
        <v>0.82545599999999997</v>
      </c>
      <c r="H82" s="2">
        <v>0.83832340000000005</v>
      </c>
      <c r="I82" s="2">
        <v>0.7931319</v>
      </c>
      <c r="J82" s="2">
        <v>0.88152609999999998</v>
      </c>
      <c r="K82" s="2">
        <v>0.86793290000000001</v>
      </c>
    </row>
    <row r="84" spans="1:16" x14ac:dyDescent="0.2">
      <c r="A84" s="253" t="s">
        <v>419</v>
      </c>
      <c r="B84" s="253"/>
      <c r="C84" s="253"/>
      <c r="D84" s="253"/>
      <c r="E84" s="253"/>
      <c r="F84" s="2"/>
      <c r="G84" s="2"/>
      <c r="H84" s="2"/>
      <c r="I84" s="2"/>
      <c r="J84" s="2"/>
      <c r="K84" s="2"/>
      <c r="L84" s="2"/>
    </row>
    <row r="85" spans="1:16" x14ac:dyDescent="0.2">
      <c r="A85" s="4"/>
      <c r="B85" s="3"/>
      <c r="C85" s="3"/>
      <c r="D85" s="11"/>
      <c r="E85" s="11"/>
      <c r="F85" s="11"/>
      <c r="G85" s="11"/>
      <c r="H85" s="11"/>
      <c r="I85" s="11"/>
      <c r="J85" s="11"/>
      <c r="K85" s="11"/>
      <c r="L85" s="11"/>
      <c r="M85" s="4"/>
      <c r="N85" s="4"/>
      <c r="O85" s="4"/>
      <c r="P85" s="4"/>
    </row>
    <row r="86" spans="1:16" x14ac:dyDescent="0.2">
      <c r="A86" s="4"/>
      <c r="B86" s="3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4"/>
      <c r="P86" s="4"/>
    </row>
    <row r="87" spans="1:16" ht="17" thickBot="1" x14ac:dyDescent="0.25">
      <c r="B87" s="3"/>
      <c r="C87" s="9"/>
      <c r="D87" s="9"/>
      <c r="E87" s="9"/>
      <c r="F87" s="9"/>
      <c r="G87" s="9"/>
      <c r="H87" s="9"/>
      <c r="I87" s="9"/>
      <c r="J87" s="9"/>
      <c r="K87" s="9"/>
      <c r="L87" s="254"/>
      <c r="M87" s="254"/>
      <c r="N87" s="254"/>
      <c r="O87" s="255"/>
      <c r="P87" s="4"/>
    </row>
    <row r="88" spans="1:16" x14ac:dyDescent="0.2">
      <c r="B88" s="4"/>
      <c r="C88" s="251" t="s">
        <v>0</v>
      </c>
      <c r="D88" s="252" t="s">
        <v>1</v>
      </c>
      <c r="E88" s="252"/>
      <c r="F88" s="6"/>
      <c r="G88" s="252" t="s">
        <v>2</v>
      </c>
      <c r="H88" s="252"/>
      <c r="I88" s="6"/>
      <c r="J88" s="252" t="s">
        <v>3</v>
      </c>
      <c r="K88" s="252"/>
      <c r="L88" s="256"/>
      <c r="M88" s="257"/>
      <c r="N88" s="257"/>
      <c r="O88" s="255"/>
      <c r="P88" s="4"/>
    </row>
    <row r="89" spans="1:16" x14ac:dyDescent="0.2">
      <c r="B89" s="4"/>
      <c r="C89" s="252"/>
      <c r="D89" s="13" t="s">
        <v>41</v>
      </c>
      <c r="E89" s="13" t="s">
        <v>42</v>
      </c>
      <c r="F89" s="8"/>
      <c r="G89" s="13" t="s">
        <v>41</v>
      </c>
      <c r="H89" s="13" t="s">
        <v>42</v>
      </c>
      <c r="I89" s="8"/>
      <c r="J89" s="13" t="s">
        <v>41</v>
      </c>
      <c r="K89" s="13" t="s">
        <v>42</v>
      </c>
      <c r="L89" s="256"/>
      <c r="M89" s="258"/>
      <c r="N89" s="258"/>
      <c r="O89" s="255"/>
      <c r="P89" s="4"/>
    </row>
    <row r="90" spans="1:16" x14ac:dyDescent="0.2">
      <c r="B90" s="4"/>
      <c r="C90" s="5" t="s">
        <v>155</v>
      </c>
      <c r="D90" s="107">
        <v>0.49067709999999998</v>
      </c>
      <c r="E90" s="107">
        <v>0.28033069999999999</v>
      </c>
      <c r="F90" s="107"/>
      <c r="G90" s="107">
        <v>0.48664689999999999</v>
      </c>
      <c r="H90" s="107">
        <v>0.31126029999999999</v>
      </c>
      <c r="I90" s="107"/>
      <c r="J90" s="107">
        <v>0.51397210000000004</v>
      </c>
      <c r="K90" s="107">
        <v>0.37853999999999999</v>
      </c>
      <c r="L90" s="259"/>
      <c r="M90" s="259"/>
      <c r="N90" s="259"/>
      <c r="O90" s="255"/>
      <c r="P90" s="4"/>
    </row>
    <row r="91" spans="1:16" x14ac:dyDescent="0.2">
      <c r="B91" s="4"/>
      <c r="C91" s="5" t="s">
        <v>156</v>
      </c>
      <c r="D91" s="107">
        <v>0.49067709999999998</v>
      </c>
      <c r="E91" s="107">
        <v>0.28033069999999999</v>
      </c>
      <c r="F91" s="107"/>
      <c r="G91" s="107">
        <v>0.48862509999999998</v>
      </c>
      <c r="H91" s="107">
        <v>0.31018469999999998</v>
      </c>
      <c r="I91" s="107"/>
      <c r="J91" s="107">
        <v>0.51497009999999999</v>
      </c>
      <c r="K91" s="107">
        <v>0.37751780000000001</v>
      </c>
      <c r="L91" s="259"/>
      <c r="M91" s="259"/>
      <c r="N91" s="259"/>
      <c r="O91" s="255"/>
      <c r="P91" s="4"/>
    </row>
    <row r="92" spans="1:16" x14ac:dyDescent="0.2">
      <c r="B92" s="4"/>
      <c r="C92" s="5" t="s">
        <v>158</v>
      </c>
      <c r="D92" s="107">
        <v>0.50245340000000005</v>
      </c>
      <c r="E92" s="107">
        <v>0.30896309999999999</v>
      </c>
      <c r="F92" s="107"/>
      <c r="G92" s="107">
        <v>0.51434219999999997</v>
      </c>
      <c r="H92" s="107">
        <v>0.36331210000000003</v>
      </c>
      <c r="I92" s="107"/>
      <c r="J92" s="107">
        <v>0.52794410000000003</v>
      </c>
      <c r="K92" s="107">
        <v>0.40275129999999998</v>
      </c>
      <c r="L92" s="259"/>
      <c r="M92" s="259"/>
      <c r="N92" s="259"/>
      <c r="O92" s="255"/>
      <c r="P92" s="4"/>
    </row>
    <row r="93" spans="1:16" x14ac:dyDescent="0.2">
      <c r="B93" s="4"/>
      <c r="C93" s="5" t="s">
        <v>160</v>
      </c>
      <c r="D93" s="107">
        <v>0.48478900000000003</v>
      </c>
      <c r="E93" s="107">
        <v>0.35354089999999999</v>
      </c>
      <c r="F93" s="107"/>
      <c r="G93" s="107">
        <v>0.48763600000000001</v>
      </c>
      <c r="H93" s="107">
        <v>0.26314690000000002</v>
      </c>
      <c r="I93" s="107"/>
      <c r="J93" s="107">
        <v>0.50798399999999999</v>
      </c>
      <c r="K93" s="107">
        <v>0.35026879999999999</v>
      </c>
      <c r="L93" s="259"/>
      <c r="M93" s="259"/>
      <c r="N93" s="259"/>
      <c r="O93" s="255"/>
      <c r="P93" s="4"/>
    </row>
    <row r="94" spans="1:16" x14ac:dyDescent="0.2">
      <c r="B94" s="4"/>
      <c r="C94" s="5" t="s">
        <v>157</v>
      </c>
      <c r="D94" s="107">
        <v>0.53189399999999998</v>
      </c>
      <c r="E94" s="107">
        <v>0.42802699999999999</v>
      </c>
      <c r="F94" s="107"/>
      <c r="G94" s="107">
        <v>0.56676559999999998</v>
      </c>
      <c r="H94" s="107">
        <v>0.49033870000000002</v>
      </c>
      <c r="I94" s="107"/>
      <c r="J94" s="107">
        <v>0.57784429999999998</v>
      </c>
      <c r="K94" s="107">
        <v>0.51500100000000004</v>
      </c>
      <c r="L94" s="259"/>
      <c r="M94" s="259"/>
      <c r="N94" s="259"/>
      <c r="O94" s="255"/>
      <c r="P94" s="4"/>
    </row>
    <row r="95" spans="1:16" x14ac:dyDescent="0.2">
      <c r="B95" s="4"/>
      <c r="C95" s="5" t="s">
        <v>161</v>
      </c>
      <c r="D95" s="107">
        <v>0.47595680000000001</v>
      </c>
      <c r="E95" s="107">
        <v>0.64494680000000004</v>
      </c>
      <c r="F95" s="107"/>
      <c r="G95" s="107">
        <v>0.54203760000000001</v>
      </c>
      <c r="H95" s="107">
        <v>0.3804341</v>
      </c>
      <c r="I95" s="107"/>
      <c r="J95" s="107">
        <v>0.496008</v>
      </c>
      <c r="K95" s="107">
        <v>0.46806500000000001</v>
      </c>
      <c r="L95" s="259"/>
      <c r="M95" s="259"/>
      <c r="N95" s="259"/>
      <c r="O95" s="255"/>
      <c r="P95" s="4"/>
    </row>
    <row r="96" spans="1:16" x14ac:dyDescent="0.2">
      <c r="B96" s="4"/>
      <c r="C96" s="5" t="s">
        <v>162</v>
      </c>
      <c r="D96" s="107">
        <v>0.55446519999999999</v>
      </c>
      <c r="E96" s="107">
        <v>0.41056680000000001</v>
      </c>
      <c r="F96" s="107"/>
      <c r="G96" s="107">
        <v>0.56775469999999995</v>
      </c>
      <c r="H96" s="107">
        <v>0.47045779999999998</v>
      </c>
      <c r="I96" s="107"/>
      <c r="J96" s="107">
        <v>0.63373250000000003</v>
      </c>
      <c r="K96" s="107">
        <v>0.59167519999999996</v>
      </c>
      <c r="L96" s="259"/>
      <c r="M96" s="259"/>
      <c r="N96" s="259"/>
      <c r="O96" s="255"/>
      <c r="P96" s="4"/>
    </row>
    <row r="97" spans="1:16" ht="17" thickBot="1" x14ac:dyDescent="0.25">
      <c r="B97" s="4"/>
      <c r="C97" s="10" t="s">
        <v>159</v>
      </c>
      <c r="D97" s="108">
        <v>0.67909719999999996</v>
      </c>
      <c r="E97" s="108">
        <v>0.55509770000000003</v>
      </c>
      <c r="F97" s="108"/>
      <c r="G97" s="108">
        <v>0.84866470000000005</v>
      </c>
      <c r="H97" s="108">
        <v>0.82545599999999997</v>
      </c>
      <c r="I97" s="108"/>
      <c r="J97" s="108">
        <v>0.83832340000000005</v>
      </c>
      <c r="K97" s="108">
        <v>0.7931319</v>
      </c>
      <c r="L97" s="260"/>
      <c r="M97" s="260"/>
      <c r="N97" s="260"/>
      <c r="O97" s="255"/>
      <c r="P97" s="4"/>
    </row>
    <row r="98" spans="1:16" x14ac:dyDescent="0.2">
      <c r="A98" t="s">
        <v>154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255"/>
      <c r="M98" s="255"/>
      <c r="N98" s="255"/>
      <c r="O98" s="255"/>
      <c r="P98" s="4"/>
    </row>
    <row r="99" spans="1:16" x14ac:dyDescent="0.2">
      <c r="B99" s="4"/>
      <c r="C99" s="4"/>
      <c r="D99" s="4"/>
      <c r="E99" s="4"/>
      <c r="F99" s="4"/>
      <c r="G99" s="4"/>
      <c r="H99" s="4"/>
      <c r="I99" s="4"/>
      <c r="J99" s="4"/>
      <c r="K99" s="4"/>
      <c r="L99" s="255"/>
      <c r="M99" s="255"/>
      <c r="N99" s="255"/>
      <c r="O99" s="255"/>
      <c r="P99" s="4"/>
    </row>
    <row r="100" spans="1:16" x14ac:dyDescent="0.2">
      <c r="B100" s="4"/>
      <c r="C100" s="4" t="s">
        <v>7</v>
      </c>
      <c r="D100" s="4"/>
      <c r="E100" s="4"/>
      <c r="F100" s="4"/>
      <c r="G100" s="4"/>
      <c r="H100" s="4"/>
      <c r="I100" s="4"/>
      <c r="J100" s="4"/>
      <c r="K100" s="4"/>
      <c r="L100" s="255"/>
      <c r="M100" s="255"/>
      <c r="N100" s="255"/>
      <c r="O100" s="255"/>
      <c r="P100" s="4"/>
    </row>
    <row r="101" spans="1:16" x14ac:dyDescent="0.2">
      <c r="B101" s="4"/>
      <c r="C101" s="3"/>
      <c r="D101" s="11"/>
      <c r="E101" s="11"/>
      <c r="F101" s="11"/>
      <c r="G101" s="11"/>
      <c r="H101" s="11"/>
      <c r="I101" s="11"/>
      <c r="J101" s="11"/>
      <c r="K101" s="11"/>
      <c r="L101" s="254"/>
      <c r="M101" s="255"/>
      <c r="N101" s="255"/>
      <c r="O101" s="255"/>
      <c r="P101" s="4"/>
    </row>
    <row r="102" spans="1:16" ht="17" thickBot="1" x14ac:dyDescent="0.25">
      <c r="B102" s="3"/>
      <c r="C102" s="9"/>
      <c r="D102" s="9"/>
      <c r="E102" s="9"/>
      <c r="F102" s="9"/>
      <c r="G102" s="9"/>
      <c r="H102" s="9"/>
      <c r="I102" s="9"/>
      <c r="J102" s="9"/>
      <c r="K102" s="9"/>
      <c r="L102" s="254"/>
      <c r="M102" s="254"/>
      <c r="N102" s="254"/>
      <c r="O102" s="255"/>
      <c r="P102" s="4"/>
    </row>
    <row r="103" spans="1:16" x14ac:dyDescent="0.2">
      <c r="B103" s="4"/>
      <c r="C103" s="251" t="s">
        <v>0</v>
      </c>
      <c r="D103" s="252" t="s">
        <v>1</v>
      </c>
      <c r="E103" s="252"/>
      <c r="F103" s="6"/>
      <c r="G103" s="252" t="s">
        <v>2</v>
      </c>
      <c r="H103" s="252"/>
      <c r="I103" s="6"/>
      <c r="J103" s="252" t="s">
        <v>3</v>
      </c>
      <c r="K103" s="252"/>
      <c r="L103" s="256"/>
      <c r="M103" s="257"/>
      <c r="N103" s="257"/>
      <c r="O103" s="255"/>
      <c r="P103" s="4"/>
    </row>
    <row r="104" spans="1:16" x14ac:dyDescent="0.2">
      <c r="B104" s="4"/>
      <c r="C104" s="252"/>
      <c r="D104" s="13" t="s">
        <v>41</v>
      </c>
      <c r="E104" s="13" t="s">
        <v>42</v>
      </c>
      <c r="F104" s="8"/>
      <c r="G104" s="13" t="s">
        <v>41</v>
      </c>
      <c r="H104" s="13" t="s">
        <v>42</v>
      </c>
      <c r="I104" s="8"/>
      <c r="J104" s="13" t="s">
        <v>41</v>
      </c>
      <c r="K104" s="13" t="s">
        <v>42</v>
      </c>
      <c r="L104" s="256"/>
      <c r="M104" s="258"/>
      <c r="N104" s="258"/>
      <c r="O104" s="255"/>
      <c r="P104" s="4"/>
    </row>
    <row r="105" spans="1:16" x14ac:dyDescent="0.2">
      <c r="B105" s="4"/>
      <c r="C105" s="5" t="s">
        <v>155</v>
      </c>
      <c r="D105" s="107">
        <v>0.40039249999999998</v>
      </c>
      <c r="E105" s="107">
        <v>0.31768750000000001</v>
      </c>
      <c r="F105" s="107"/>
      <c r="G105" s="107">
        <v>0.40751730000000003</v>
      </c>
      <c r="H105" s="107">
        <v>0.33529340000000002</v>
      </c>
      <c r="I105" s="107"/>
      <c r="J105" s="107">
        <v>0.44011980000000001</v>
      </c>
      <c r="K105" s="107">
        <v>0.38901340000000001</v>
      </c>
      <c r="L105" s="259"/>
      <c r="M105" s="259"/>
      <c r="N105" s="259"/>
      <c r="O105" s="255"/>
      <c r="P105" s="4"/>
    </row>
    <row r="106" spans="1:16" x14ac:dyDescent="0.2">
      <c r="B106" s="4"/>
      <c r="C106" s="5" t="s">
        <v>156</v>
      </c>
      <c r="D106" s="107">
        <v>0.40039249999999998</v>
      </c>
      <c r="E106" s="107">
        <v>0.31753969999999998</v>
      </c>
      <c r="F106" s="107"/>
      <c r="G106" s="107">
        <v>0.40257169999999998</v>
      </c>
      <c r="H106" s="107">
        <v>0.32970139999999998</v>
      </c>
      <c r="I106" s="107"/>
      <c r="J106" s="107">
        <v>0.43812380000000001</v>
      </c>
      <c r="K106" s="107">
        <v>0.38735170000000002</v>
      </c>
      <c r="L106" s="259"/>
      <c r="M106" s="259"/>
      <c r="N106" s="259"/>
      <c r="O106" s="255"/>
      <c r="P106" s="4"/>
    </row>
    <row r="107" spans="1:16" x14ac:dyDescent="0.2">
      <c r="B107" s="4"/>
      <c r="C107" s="5" t="s">
        <v>158</v>
      </c>
      <c r="D107" s="107">
        <v>0.42394500000000002</v>
      </c>
      <c r="E107" s="107">
        <v>0.34738590000000003</v>
      </c>
      <c r="F107" s="107"/>
      <c r="G107" s="107">
        <v>0.4243323</v>
      </c>
      <c r="H107" s="107">
        <v>0.3635621</v>
      </c>
      <c r="I107" s="107"/>
      <c r="J107" s="107">
        <v>0.46007979999999998</v>
      </c>
      <c r="K107" s="107">
        <v>0.4173306</v>
      </c>
      <c r="L107" s="259"/>
      <c r="M107" s="259"/>
      <c r="N107" s="259"/>
      <c r="O107" s="255"/>
      <c r="P107" s="4"/>
    </row>
    <row r="108" spans="1:16" x14ac:dyDescent="0.2">
      <c r="B108" s="4"/>
      <c r="C108" s="5" t="s">
        <v>160</v>
      </c>
      <c r="D108" s="107">
        <v>0.35132479999999999</v>
      </c>
      <c r="E108" s="107">
        <v>0.37889260000000002</v>
      </c>
      <c r="F108" s="107"/>
      <c r="G108" s="107">
        <v>0.38872400000000001</v>
      </c>
      <c r="H108" s="107">
        <v>0.3049212</v>
      </c>
      <c r="I108" s="107"/>
      <c r="J108" s="107">
        <v>0.43413170000000001</v>
      </c>
      <c r="K108" s="107">
        <v>0.37095020000000001</v>
      </c>
      <c r="L108" s="259"/>
      <c r="M108" s="259"/>
      <c r="N108" s="259"/>
      <c r="O108" s="255"/>
      <c r="P108" s="4"/>
    </row>
    <row r="109" spans="1:16" x14ac:dyDescent="0.2">
      <c r="B109" s="4"/>
      <c r="C109" s="5" t="s">
        <v>157</v>
      </c>
      <c r="D109" s="107">
        <v>0.57998039999999995</v>
      </c>
      <c r="E109" s="107">
        <v>0.69289959999999995</v>
      </c>
      <c r="F109" s="107"/>
      <c r="G109" s="107">
        <v>0.59149359999999995</v>
      </c>
      <c r="H109" s="107">
        <v>0.70441860000000001</v>
      </c>
      <c r="I109" s="107"/>
      <c r="J109" s="107">
        <v>0.55788420000000005</v>
      </c>
      <c r="K109" s="107">
        <v>0.66533359999999997</v>
      </c>
      <c r="L109" s="259"/>
      <c r="M109" s="259"/>
      <c r="N109" s="259"/>
      <c r="O109" s="255"/>
      <c r="P109" s="4"/>
    </row>
    <row r="110" spans="1:16" x14ac:dyDescent="0.2">
      <c r="B110" s="4"/>
      <c r="C110" s="5" t="s">
        <v>161</v>
      </c>
      <c r="D110" s="107">
        <v>0.48478900000000003</v>
      </c>
      <c r="E110" s="107">
        <v>0.54767940000000004</v>
      </c>
      <c r="F110" s="107"/>
      <c r="G110" s="107">
        <v>0.46290799999999999</v>
      </c>
      <c r="H110" s="107">
        <v>0.42622919999999997</v>
      </c>
      <c r="I110" s="107"/>
      <c r="J110" s="107">
        <v>0.498004</v>
      </c>
      <c r="K110" s="107">
        <v>0.57249130000000004</v>
      </c>
      <c r="L110" s="259"/>
      <c r="M110" s="259"/>
      <c r="N110" s="259"/>
      <c r="O110" s="255"/>
      <c r="P110" s="4"/>
    </row>
    <row r="111" spans="1:16" x14ac:dyDescent="0.2">
      <c r="B111" s="4"/>
      <c r="C111" s="5" t="s">
        <v>162</v>
      </c>
      <c r="D111" s="107">
        <v>0.4779195</v>
      </c>
      <c r="E111" s="107">
        <v>0.41972490000000001</v>
      </c>
      <c r="F111" s="107"/>
      <c r="G111" s="107">
        <v>0.49950539999999999</v>
      </c>
      <c r="H111" s="107">
        <v>0.44192300000000001</v>
      </c>
      <c r="I111" s="107"/>
      <c r="J111" s="107">
        <v>0.5568862</v>
      </c>
      <c r="K111" s="107">
        <v>0.52947129999999998</v>
      </c>
      <c r="L111" s="259"/>
      <c r="M111" s="259"/>
      <c r="N111" s="259"/>
      <c r="O111" s="255"/>
      <c r="P111" s="4"/>
    </row>
    <row r="112" spans="1:16" ht="17" thickBot="1" x14ac:dyDescent="0.25">
      <c r="B112" s="4"/>
      <c r="C112" s="10" t="s">
        <v>159</v>
      </c>
      <c r="D112" s="108">
        <v>0.6840039</v>
      </c>
      <c r="E112" s="108">
        <v>0.80503460000000004</v>
      </c>
      <c r="F112" s="108"/>
      <c r="G112" s="108">
        <v>0.77448070000000002</v>
      </c>
      <c r="H112" s="108">
        <v>0.72077749999999996</v>
      </c>
      <c r="I112" s="108"/>
      <c r="J112" s="108">
        <v>0.6656687</v>
      </c>
      <c r="K112" s="108">
        <v>0.5656407</v>
      </c>
      <c r="L112" s="260"/>
      <c r="M112" s="260"/>
      <c r="N112" s="260"/>
      <c r="O112" s="255"/>
      <c r="P112" s="4"/>
    </row>
    <row r="113" spans="2:15" x14ac:dyDescent="0.2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255"/>
      <c r="M113" s="255"/>
      <c r="N113" s="255"/>
      <c r="O113" s="255"/>
    </row>
    <row r="114" spans="2:15" x14ac:dyDescent="0.2">
      <c r="L114" s="261"/>
      <c r="M114" s="261"/>
      <c r="N114" s="261"/>
      <c r="O114" s="261"/>
    </row>
    <row r="115" spans="2:15" x14ac:dyDescent="0.2">
      <c r="L115" s="261"/>
      <c r="M115" s="261"/>
      <c r="N115" s="261"/>
      <c r="O115" s="261"/>
    </row>
  </sheetData>
  <mergeCells count="33">
    <mergeCell ref="M88:N88"/>
    <mergeCell ref="C103:C104"/>
    <mergeCell ref="D103:E103"/>
    <mergeCell ref="G103:H103"/>
    <mergeCell ref="J103:K103"/>
    <mergeCell ref="M103:N103"/>
    <mergeCell ref="A84:E84"/>
    <mergeCell ref="C88:C89"/>
    <mergeCell ref="D88:E88"/>
    <mergeCell ref="G88:H88"/>
    <mergeCell ref="J88:K88"/>
    <mergeCell ref="J9:K9"/>
    <mergeCell ref="M9:N9"/>
    <mergeCell ref="C24:C25"/>
    <mergeCell ref="D24:E24"/>
    <mergeCell ref="G24:H24"/>
    <mergeCell ref="J24:K24"/>
    <mergeCell ref="M24:N24"/>
    <mergeCell ref="A6:E6"/>
    <mergeCell ref="A39:E39"/>
    <mergeCell ref="C9:C10"/>
    <mergeCell ref="D9:E9"/>
    <mergeCell ref="G9:H9"/>
    <mergeCell ref="C43:C44"/>
    <mergeCell ref="D43:E43"/>
    <mergeCell ref="G43:H43"/>
    <mergeCell ref="J43:K43"/>
    <mergeCell ref="M43:N43"/>
    <mergeCell ref="C58:C59"/>
    <mergeCell ref="D58:E58"/>
    <mergeCell ref="G58:H58"/>
    <mergeCell ref="J58:K58"/>
    <mergeCell ref="M58:N5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7B69-4E02-C34B-9179-7EB287F55554}">
  <dimension ref="D2:J39"/>
  <sheetViews>
    <sheetView topLeftCell="B1" zoomScale="115" workbookViewId="0">
      <selection activeCell="E4" sqref="E4:I38"/>
    </sheetView>
  </sheetViews>
  <sheetFormatPr baseColWidth="10" defaultRowHeight="16" x14ac:dyDescent="0.2"/>
  <cols>
    <col min="5" max="5" width="15.5" bestFit="1" customWidth="1"/>
    <col min="6" max="6" width="24.1640625" bestFit="1" customWidth="1"/>
    <col min="7" max="7" width="13.6640625" style="42" bestFit="1" customWidth="1"/>
    <col min="8" max="9" width="22.83203125" style="42" customWidth="1"/>
    <col min="10" max="10" width="13.6640625" bestFit="1" customWidth="1"/>
  </cols>
  <sheetData>
    <row r="2" spans="4:10" x14ac:dyDescent="0.2">
      <c r="D2" s="4"/>
      <c r="E2" s="4"/>
      <c r="F2" s="4"/>
      <c r="G2" s="65"/>
      <c r="H2" s="65"/>
      <c r="I2" s="65"/>
      <c r="J2" s="4"/>
    </row>
    <row r="3" spans="4:10" ht="17" thickBot="1" x14ac:dyDescent="0.25">
      <c r="D3" s="4"/>
      <c r="E3" s="66"/>
      <c r="F3" s="66"/>
      <c r="G3" s="67"/>
      <c r="H3" s="67"/>
      <c r="I3" s="67"/>
      <c r="J3" s="4"/>
    </row>
    <row r="4" spans="4:10" x14ac:dyDescent="0.2">
      <c r="D4" s="4"/>
      <c r="E4" s="68" t="s">
        <v>39</v>
      </c>
      <c r="F4" s="68" t="s">
        <v>40</v>
      </c>
      <c r="G4" s="69" t="s">
        <v>140</v>
      </c>
      <c r="H4" s="69" t="s">
        <v>141</v>
      </c>
      <c r="I4" s="69" t="s">
        <v>142</v>
      </c>
      <c r="J4" s="4"/>
    </row>
    <row r="5" spans="4:10" x14ac:dyDescent="0.2">
      <c r="D5" s="3"/>
      <c r="E5" s="54" t="s">
        <v>8</v>
      </c>
      <c r="F5" s="54" t="s">
        <v>133</v>
      </c>
      <c r="G5" s="55" t="s">
        <v>144</v>
      </c>
      <c r="H5" s="55"/>
      <c r="I5" s="186" t="s">
        <v>143</v>
      </c>
      <c r="J5" s="11"/>
    </row>
    <row r="6" spans="4:10" x14ac:dyDescent="0.2">
      <c r="D6" s="3"/>
      <c r="E6" s="17" t="s">
        <v>8</v>
      </c>
      <c r="F6" s="17" t="s">
        <v>134</v>
      </c>
      <c r="G6" s="5" t="s">
        <v>144</v>
      </c>
      <c r="H6" s="5"/>
      <c r="I6" s="40" t="s">
        <v>143</v>
      </c>
      <c r="J6" s="11"/>
    </row>
    <row r="7" spans="4:10" x14ac:dyDescent="0.2">
      <c r="D7" s="3"/>
      <c r="E7" s="17" t="s">
        <v>8</v>
      </c>
      <c r="F7" s="17" t="s">
        <v>135</v>
      </c>
      <c r="G7" s="5" t="s">
        <v>144</v>
      </c>
      <c r="H7" s="5"/>
      <c r="I7" s="40" t="s">
        <v>143</v>
      </c>
      <c r="J7" s="11"/>
    </row>
    <row r="8" spans="4:10" x14ac:dyDescent="0.2">
      <c r="D8" s="3"/>
      <c r="E8" s="17" t="s">
        <v>8</v>
      </c>
      <c r="F8" s="17" t="s">
        <v>85</v>
      </c>
      <c r="G8" s="5" t="s">
        <v>144</v>
      </c>
      <c r="H8" s="5"/>
      <c r="I8" s="40" t="s">
        <v>143</v>
      </c>
      <c r="J8" s="11"/>
    </row>
    <row r="9" spans="4:10" x14ac:dyDescent="0.2">
      <c r="D9" s="3"/>
      <c r="E9" s="17" t="s">
        <v>47</v>
      </c>
      <c r="F9" s="17" t="s">
        <v>129</v>
      </c>
      <c r="G9" s="5" t="s">
        <v>144</v>
      </c>
      <c r="H9" s="5"/>
      <c r="I9" s="40" t="s">
        <v>143</v>
      </c>
      <c r="J9" s="11"/>
    </row>
    <row r="10" spans="4:10" x14ac:dyDescent="0.2">
      <c r="D10" s="3"/>
      <c r="E10" s="17" t="s">
        <v>47</v>
      </c>
      <c r="F10" s="17" t="s">
        <v>130</v>
      </c>
      <c r="G10" s="5" t="s">
        <v>144</v>
      </c>
      <c r="H10" s="5"/>
      <c r="I10" s="40" t="s">
        <v>143</v>
      </c>
      <c r="J10" s="11"/>
    </row>
    <row r="11" spans="4:10" x14ac:dyDescent="0.2">
      <c r="D11" s="3"/>
      <c r="E11" s="17" t="s">
        <v>47</v>
      </c>
      <c r="F11" s="17" t="s">
        <v>131</v>
      </c>
      <c r="G11" s="5" t="s">
        <v>144</v>
      </c>
      <c r="H11" s="5"/>
      <c r="I11" s="40" t="s">
        <v>143</v>
      </c>
      <c r="J11" s="11"/>
    </row>
    <row r="12" spans="4:10" x14ac:dyDescent="0.2">
      <c r="D12" s="3"/>
      <c r="E12" s="17" t="s">
        <v>47</v>
      </c>
      <c r="F12" s="17" t="s">
        <v>132</v>
      </c>
      <c r="G12" s="5" t="s">
        <v>144</v>
      </c>
      <c r="H12" s="5"/>
      <c r="I12" s="40" t="s">
        <v>143</v>
      </c>
      <c r="J12" s="11"/>
    </row>
    <row r="13" spans="4:10" x14ac:dyDescent="0.2">
      <c r="D13" s="3"/>
      <c r="E13" s="17" t="s">
        <v>63</v>
      </c>
      <c r="F13" s="17" t="s">
        <v>124</v>
      </c>
      <c r="G13" s="5" t="s">
        <v>144</v>
      </c>
      <c r="H13" s="40" t="s">
        <v>143</v>
      </c>
      <c r="I13" s="5"/>
      <c r="J13" s="11"/>
    </row>
    <row r="14" spans="4:10" x14ac:dyDescent="0.2">
      <c r="D14" s="3"/>
      <c r="E14" s="17" t="s">
        <v>63</v>
      </c>
      <c r="F14" s="17" t="s">
        <v>126</v>
      </c>
      <c r="G14" s="5" t="s">
        <v>144</v>
      </c>
      <c r="H14" s="40" t="s">
        <v>143</v>
      </c>
      <c r="I14" s="5"/>
      <c r="J14" s="11"/>
    </row>
    <row r="15" spans="4:10" x14ac:dyDescent="0.2">
      <c r="D15" s="3"/>
      <c r="E15" s="17" t="s">
        <v>64</v>
      </c>
      <c r="F15" s="17" t="s">
        <v>127</v>
      </c>
      <c r="G15" s="5" t="s">
        <v>144</v>
      </c>
      <c r="H15" s="40" t="s">
        <v>143</v>
      </c>
      <c r="I15" s="5"/>
      <c r="J15" s="11"/>
    </row>
    <row r="16" spans="4:10" x14ac:dyDescent="0.2">
      <c r="D16" s="3"/>
      <c r="E16" s="17" t="s">
        <v>67</v>
      </c>
      <c r="F16" s="17" t="s">
        <v>124</v>
      </c>
      <c r="G16" s="5" t="s">
        <v>144</v>
      </c>
      <c r="H16" s="40" t="s">
        <v>143</v>
      </c>
      <c r="I16" s="5"/>
      <c r="J16" s="11"/>
    </row>
    <row r="17" spans="4:10" x14ac:dyDescent="0.2">
      <c r="D17" s="3"/>
      <c r="E17" s="17" t="s">
        <v>67</v>
      </c>
      <c r="F17" s="17" t="s">
        <v>125</v>
      </c>
      <c r="G17" s="5" t="s">
        <v>144</v>
      </c>
      <c r="H17" s="40" t="s">
        <v>143</v>
      </c>
      <c r="I17" s="5"/>
      <c r="J17" s="11"/>
    </row>
    <row r="18" spans="4:10" x14ac:dyDescent="0.2">
      <c r="D18" s="3"/>
      <c r="E18" s="17" t="s">
        <v>72</v>
      </c>
      <c r="F18" s="17" t="s">
        <v>126</v>
      </c>
      <c r="G18" s="5" t="s">
        <v>144</v>
      </c>
      <c r="H18" s="40" t="s">
        <v>143</v>
      </c>
      <c r="I18" s="5"/>
      <c r="J18" s="11"/>
    </row>
    <row r="19" spans="4:10" x14ac:dyDescent="0.2">
      <c r="D19" s="3"/>
      <c r="E19" s="17" t="s">
        <v>72</v>
      </c>
      <c r="F19" s="17" t="s">
        <v>128</v>
      </c>
      <c r="G19" s="5" t="s">
        <v>144</v>
      </c>
      <c r="H19" s="40" t="s">
        <v>143</v>
      </c>
      <c r="I19" s="5"/>
      <c r="J19" s="11"/>
    </row>
    <row r="20" spans="4:10" x14ac:dyDescent="0.2">
      <c r="D20" s="3"/>
      <c r="E20" s="17" t="s">
        <v>74</v>
      </c>
      <c r="F20" s="17" t="s">
        <v>123</v>
      </c>
      <c r="G20" s="5" t="s">
        <v>144</v>
      </c>
      <c r="H20" s="40" t="s">
        <v>143</v>
      </c>
      <c r="I20" s="5"/>
      <c r="J20" s="11"/>
    </row>
    <row r="21" spans="4:10" x14ac:dyDescent="0.2">
      <c r="D21" s="3"/>
      <c r="E21" s="17" t="s">
        <v>79</v>
      </c>
      <c r="F21" s="17" t="s">
        <v>12</v>
      </c>
      <c r="G21" s="5" t="s">
        <v>144</v>
      </c>
      <c r="H21" s="40" t="s">
        <v>143</v>
      </c>
      <c r="I21" s="5"/>
      <c r="J21" s="11"/>
    </row>
    <row r="22" spans="4:10" x14ac:dyDescent="0.2">
      <c r="D22" s="3"/>
      <c r="E22" s="17" t="s">
        <v>87</v>
      </c>
      <c r="F22" s="17" t="s">
        <v>36</v>
      </c>
      <c r="G22" s="5" t="s">
        <v>144</v>
      </c>
      <c r="H22" s="40" t="s">
        <v>143</v>
      </c>
      <c r="I22" s="5"/>
      <c r="J22" s="11"/>
    </row>
    <row r="23" spans="4:10" x14ac:dyDescent="0.2">
      <c r="D23" s="3"/>
      <c r="E23" s="137" t="s">
        <v>82</v>
      </c>
      <c r="F23" s="137" t="s">
        <v>124</v>
      </c>
      <c r="G23" s="147" t="s">
        <v>144</v>
      </c>
      <c r="H23" s="187" t="s">
        <v>143</v>
      </c>
      <c r="I23" s="147"/>
      <c r="J23" s="11"/>
    </row>
    <row r="24" spans="4:10" x14ac:dyDescent="0.2">
      <c r="D24" s="3"/>
      <c r="E24" s="17" t="s">
        <v>71</v>
      </c>
      <c r="F24" s="17" t="s">
        <v>17</v>
      </c>
      <c r="G24" s="5" t="s">
        <v>145</v>
      </c>
      <c r="H24" s="40" t="s">
        <v>143</v>
      </c>
      <c r="I24" s="5"/>
      <c r="J24" s="11"/>
    </row>
    <row r="25" spans="4:10" x14ac:dyDescent="0.2">
      <c r="D25" s="3"/>
      <c r="E25" s="17" t="s">
        <v>72</v>
      </c>
      <c r="F25" s="17" t="s">
        <v>137</v>
      </c>
      <c r="G25" s="5" t="s">
        <v>145</v>
      </c>
      <c r="H25" s="40" t="s">
        <v>143</v>
      </c>
      <c r="I25" s="5"/>
      <c r="J25" s="11"/>
    </row>
    <row r="26" spans="4:10" x14ac:dyDescent="0.2">
      <c r="D26" s="3"/>
      <c r="E26" s="17" t="s">
        <v>79</v>
      </c>
      <c r="F26" s="17" t="s">
        <v>124</v>
      </c>
      <c r="G26" s="5" t="s">
        <v>145</v>
      </c>
      <c r="H26" s="40" t="s">
        <v>143</v>
      </c>
      <c r="I26" s="5"/>
      <c r="J26" s="11"/>
    </row>
    <row r="27" spans="4:10" x14ac:dyDescent="0.2">
      <c r="D27" s="3"/>
      <c r="E27" s="17" t="s">
        <v>79</v>
      </c>
      <c r="F27" s="17" t="s">
        <v>19</v>
      </c>
      <c r="G27" s="5" t="s">
        <v>145</v>
      </c>
      <c r="H27" s="40" t="s">
        <v>143</v>
      </c>
      <c r="I27" s="5"/>
      <c r="J27" s="11"/>
    </row>
    <row r="28" spans="4:10" x14ac:dyDescent="0.2">
      <c r="D28" s="3"/>
      <c r="E28" s="17" t="s">
        <v>74</v>
      </c>
      <c r="F28" s="17" t="s">
        <v>136</v>
      </c>
      <c r="G28" s="5" t="s">
        <v>145</v>
      </c>
      <c r="H28" s="40" t="s">
        <v>143</v>
      </c>
      <c r="I28" s="5"/>
      <c r="J28" s="11"/>
    </row>
    <row r="29" spans="4:10" x14ac:dyDescent="0.2">
      <c r="D29" s="3"/>
      <c r="E29" s="135" t="s">
        <v>67</v>
      </c>
      <c r="F29" s="135" t="s">
        <v>138</v>
      </c>
      <c r="G29" s="146" t="s">
        <v>146</v>
      </c>
      <c r="H29" s="188" t="s">
        <v>143</v>
      </c>
      <c r="I29" s="146"/>
      <c r="J29" s="11"/>
    </row>
    <row r="30" spans="4:10" x14ac:dyDescent="0.2">
      <c r="D30" s="3"/>
      <c r="E30" s="17" t="s">
        <v>69</v>
      </c>
      <c r="F30" s="17" t="s">
        <v>139</v>
      </c>
      <c r="G30" s="5" t="s">
        <v>146</v>
      </c>
      <c r="H30" s="40" t="s">
        <v>143</v>
      </c>
      <c r="I30" s="5"/>
      <c r="J30" s="11"/>
    </row>
    <row r="31" spans="4:10" x14ac:dyDescent="0.2">
      <c r="D31" s="3"/>
      <c r="E31" s="137" t="s">
        <v>86</v>
      </c>
      <c r="F31" s="137" t="s">
        <v>124</v>
      </c>
      <c r="G31" s="147" t="s">
        <v>146</v>
      </c>
      <c r="H31" s="187" t="s">
        <v>143</v>
      </c>
      <c r="I31" s="147"/>
      <c r="J31" s="11"/>
    </row>
    <row r="32" spans="4:10" x14ac:dyDescent="0.2">
      <c r="D32" s="4"/>
      <c r="E32" s="17" t="s">
        <v>8</v>
      </c>
      <c r="F32" s="17" t="s">
        <v>18</v>
      </c>
      <c r="G32" s="5" t="s">
        <v>147</v>
      </c>
      <c r="H32" s="40" t="s">
        <v>143</v>
      </c>
      <c r="I32" s="5"/>
      <c r="J32" s="4"/>
    </row>
    <row r="33" spans="4:10" x14ac:dyDescent="0.2">
      <c r="D33" s="3"/>
      <c r="E33" s="17" t="s">
        <v>47</v>
      </c>
      <c r="F33" s="17" t="s">
        <v>13</v>
      </c>
      <c r="G33" s="5" t="s">
        <v>147</v>
      </c>
      <c r="H33" s="40" t="s">
        <v>143</v>
      </c>
      <c r="I33" s="5"/>
      <c r="J33" s="11"/>
    </row>
    <row r="34" spans="4:10" x14ac:dyDescent="0.2">
      <c r="D34" s="3"/>
      <c r="E34" s="17" t="s">
        <v>72</v>
      </c>
      <c r="F34" s="17" t="s">
        <v>124</v>
      </c>
      <c r="G34" s="5" t="s">
        <v>147</v>
      </c>
      <c r="H34" s="40" t="s">
        <v>143</v>
      </c>
      <c r="I34" s="5"/>
      <c r="J34" s="11"/>
    </row>
    <row r="35" spans="4:10" x14ac:dyDescent="0.2">
      <c r="D35" s="3"/>
      <c r="E35" s="17" t="s">
        <v>73</v>
      </c>
      <c r="F35" s="17" t="s">
        <v>124</v>
      </c>
      <c r="G35" s="5" t="s">
        <v>147</v>
      </c>
      <c r="H35" s="40" t="s">
        <v>143</v>
      </c>
      <c r="I35" s="5"/>
      <c r="J35" s="11"/>
    </row>
    <row r="36" spans="4:10" x14ac:dyDescent="0.2">
      <c r="D36" s="3"/>
      <c r="E36" s="17" t="s">
        <v>48</v>
      </c>
      <c r="F36" s="17" t="s">
        <v>18</v>
      </c>
      <c r="G36" s="5" t="s">
        <v>147</v>
      </c>
      <c r="H36" s="40" t="s">
        <v>143</v>
      </c>
      <c r="I36" s="5"/>
      <c r="J36" s="11"/>
    </row>
    <row r="37" spans="4:10" x14ac:dyDescent="0.2">
      <c r="D37" s="3"/>
      <c r="E37" s="17" t="s">
        <v>82</v>
      </c>
      <c r="F37" s="17" t="s">
        <v>15</v>
      </c>
      <c r="G37" s="5" t="s">
        <v>147</v>
      </c>
      <c r="H37" s="40" t="s">
        <v>143</v>
      </c>
      <c r="I37" s="5"/>
      <c r="J37" s="11"/>
    </row>
    <row r="38" spans="4:10" ht="17" thickBot="1" x14ac:dyDescent="0.25">
      <c r="D38" s="3"/>
      <c r="E38" s="141" t="s">
        <v>87</v>
      </c>
      <c r="F38" s="141" t="s">
        <v>20</v>
      </c>
      <c r="G38" s="10" t="s">
        <v>147</v>
      </c>
      <c r="H38" s="39" t="s">
        <v>143</v>
      </c>
      <c r="I38" s="10"/>
      <c r="J38" s="11"/>
    </row>
    <row r="39" spans="4:10" x14ac:dyDescent="0.2">
      <c r="E39" s="4"/>
      <c r="F39" s="4"/>
      <c r="G39" s="65"/>
      <c r="H39" s="65"/>
      <c r="I39" s="65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ModelPred_Nov22</vt:lpstr>
      <vt:lpstr>ModelPred_Nov17</vt:lpstr>
      <vt:lpstr>Table1</vt:lpstr>
      <vt:lpstr>ModelPred</vt:lpstr>
      <vt:lpstr>FeatureInterp</vt:lpstr>
      <vt:lpstr>Sheet3</vt:lpstr>
      <vt:lpstr>Model_Evaluation_1005</vt:lpstr>
      <vt:lpstr>VariantsExc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Franky</dc:creator>
  <cp:lastModifiedBy>Zhang, Franky</cp:lastModifiedBy>
  <dcterms:created xsi:type="dcterms:W3CDTF">2025-09-11T17:15:30Z</dcterms:created>
  <dcterms:modified xsi:type="dcterms:W3CDTF">2025-11-23T03:42:16Z</dcterms:modified>
</cp:coreProperties>
</file>