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zfranky6_uconn_edu/Documents/Jo_Franky/Project2_Variants_Modeling/result/"/>
    </mc:Choice>
  </mc:AlternateContent>
  <xr:revisionPtr revIDLastSave="2346" documentId="11_99AE113A1D51E701CC42515989B09F209B4DF933" xr6:coauthVersionLast="47" xr6:coauthVersionMax="47" xr10:uidLastSave="{C7C18B8F-87C9-5A40-AD16-697C442EFEFB}"/>
  <bookViews>
    <workbookView xWindow="0" yWindow="760" windowWidth="27760" windowHeight="18880" activeTab="1" xr2:uid="{00000000-000D-0000-FFFF-FFFF00000000}"/>
  </bookViews>
  <sheets>
    <sheet name="Summary" sheetId="1" r:id="rId1"/>
    <sheet name="FLowResults" sheetId="7" r:id="rId2"/>
    <sheet name="Table S3" sheetId="8" r:id="rId3"/>
    <sheet name="Table2_Tune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9" i="7" l="1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8" i="7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H21" i="7"/>
  <c r="I21" i="7" s="1"/>
  <c r="H22" i="7"/>
  <c r="I22" i="7" s="1"/>
  <c r="H23" i="7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H36" i="7"/>
  <c r="I36" i="7" s="1"/>
  <c r="H37" i="7"/>
  <c r="H38" i="7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H101" i="7"/>
  <c r="I101" i="7" s="1"/>
  <c r="H102" i="7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H117" i="7"/>
  <c r="I117" i="7" s="1"/>
  <c r="H118" i="7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H131" i="7"/>
  <c r="I131" i="7" s="1"/>
  <c r="H132" i="7"/>
  <c r="H133" i="7"/>
  <c r="H134" i="7"/>
  <c r="I134" i="7" s="1"/>
  <c r="H135" i="7"/>
  <c r="I135" i="7" s="1"/>
  <c r="H136" i="7"/>
  <c r="I136" i="7" s="1"/>
  <c r="H137" i="7"/>
  <c r="I137" i="7" s="1"/>
  <c r="H138" i="7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H147" i="7"/>
  <c r="I147" i="7" s="1"/>
  <c r="H148" i="7"/>
  <c r="H149" i="7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H158" i="7"/>
  <c r="I158" i="7" s="1"/>
  <c r="H159" i="7"/>
  <c r="I159" i="7" s="1"/>
  <c r="H160" i="7"/>
  <c r="H161" i="7"/>
  <c r="I161" i="7" s="1"/>
  <c r="H162" i="7"/>
  <c r="H163" i="7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H181" i="7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H203" i="7"/>
  <c r="H204" i="7"/>
  <c r="H205" i="7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H218" i="7"/>
  <c r="H219" i="7"/>
  <c r="H220" i="7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</calcChain>
</file>

<file path=xl/sharedStrings.xml><?xml version="1.0" encoding="utf-8"?>
<sst xmlns="http://schemas.openxmlformats.org/spreadsheetml/2006/main" count="1188" uniqueCount="134">
  <si>
    <t>Australia</t>
  </si>
  <si>
    <t>Austria</t>
  </si>
  <si>
    <t>AY.122, AY.4, AY.43, B.1, B.1.1, B.1.617, BA.1, BA.1.1, BA.1.17, BA.2, BA.4, BA.5, BA.5.2, BG, BQ.1, JN.1, Q, XBB.1</t>
  </si>
  <si>
    <t>Belgium</t>
  </si>
  <si>
    <t>AY.122, AY.3, AY.4, AY.43, B.1, B.1.1, B.1.617, BA.1, BA.1.1, BA.1.17, BA.2, BA.4, BA.5, BA.5.2, BG, BQ.1, JN.1, Q, XBB.1</t>
  </si>
  <si>
    <t>Brazil</t>
  </si>
  <si>
    <t>Canada</t>
  </si>
  <si>
    <t>China</t>
  </si>
  <si>
    <t>B.1.617, BA.1.1, BA.2, BA.5.2, JN.1, XBB.1</t>
  </si>
  <si>
    <t>Czech Republic</t>
  </si>
  <si>
    <t>AY.122, AY.4, AY.43, B.1, B.1.1, B.1.617, BA.1, BA.1.1, BA.1.17, BA.2, BA.4, BA.5, BA.5.2, BQ.1, JN.1, Q, XBB.1</t>
  </si>
  <si>
    <t>Denmark</t>
  </si>
  <si>
    <t>AY.122, AY.3, AY.4, AY.43, B.1, B.1.1, B.1.617, BA.1, BA.1.1, BA.1.17, BA.2, BA.4, BA.5, BA.5.2, BG, BQ.1, Q, XBB.1</t>
  </si>
  <si>
    <t>France</t>
  </si>
  <si>
    <t>Germany</t>
  </si>
  <si>
    <t>India</t>
  </si>
  <si>
    <t>AY.122, AY.3, AY.4, AY.44, B.1, B.1.1, B.1.617, BA.1, BA.1.1, BA.2, BA.5.2, BG, JN.1, Q, XBB.1</t>
  </si>
  <si>
    <t>Ireland</t>
  </si>
  <si>
    <t>Israel</t>
  </si>
  <si>
    <t>Italy</t>
  </si>
  <si>
    <t>AY.122, AY.3, AY.4, AY.43, B.1, B.1.1, B.1.617, BA.1, BA.1.1, BA.1.17, BA.2, BA.4, BA.5, BA.5.2, BQ.1, JN.1, Q, XBB.1</t>
  </si>
  <si>
    <t>Japan</t>
  </si>
  <si>
    <t>Luxembourg</t>
  </si>
  <si>
    <t>Mexico</t>
  </si>
  <si>
    <t>Netherlands</t>
  </si>
  <si>
    <t>Norway</t>
  </si>
  <si>
    <t>Peru</t>
  </si>
  <si>
    <t>AY.122, AY.3, B.1, B.1.1, BA.1, BA.1.1, BA.1.17, BA.2, BA.4, BA.5, BA.5.2, BG, BQ.1, JN.1, XBB.1</t>
  </si>
  <si>
    <t>Poland</t>
  </si>
  <si>
    <t>AY.122, AY.3, AY.4, AY.43, B.1, B.1.1, B.1.617, BA.1, BA.1.1, BA.2, BA.5, BA.5.2, BQ.1, JN.1, Q, XBB.1</t>
  </si>
  <si>
    <t>Russia</t>
  </si>
  <si>
    <t>AY.122, B.1, B.1.1, B.1.617, BA.1, BA.1.1, BA.1.17, BA.2, BA.5, BA.5.2, BQ.1, JN.1, Q, XBB.1</t>
  </si>
  <si>
    <t>Slovenia</t>
  </si>
  <si>
    <t>AY.122, AY.4, AY.43, B.1, B.1.1, B.1.617, BA.1, BA.1.1, BA.2, BA.5, BA.5.2, BQ.1, JN.1, Q, XBB.1</t>
  </si>
  <si>
    <t>South Korea</t>
  </si>
  <si>
    <t>Spain</t>
  </si>
  <si>
    <t>Sweden</t>
  </si>
  <si>
    <t>Switzerland</t>
  </si>
  <si>
    <t>AY.103, AY.122, AY.3, AY.4, AY.43, B.1, B.1.1, B.1.617, BA.1, BA.1.1, BA.1.17, BA.2, BA.4, BA.5, BA.5.2, BQ.1, JN.1, Q, XBB.1</t>
  </si>
  <si>
    <t>Turkey</t>
  </si>
  <si>
    <t>AY.122, B.1, B.1.1, B.1.617, Q</t>
  </si>
  <si>
    <t>USA</t>
  </si>
  <si>
    <t>United Kingdom</t>
  </si>
  <si>
    <t>Start Date</t>
  </si>
  <si>
    <t>End Date</t>
  </si>
  <si>
    <t>Country</t>
  </si>
  <si>
    <t>Lineages Contained</t>
  </si>
  <si>
    <t>AY.3, B.1, B.1.1, B.1.617, BA.1, BA.1.1, BA.1.17, BA.2, BA.4, BA.5, BA.5.2, BG, BQ.1, JN.1, Q (B.1.1.7), XBB.1</t>
  </si>
  <si>
    <t>AY.122, AY.3, AY.4, AY.43, B.1, B.1.1, BA.1, BA.1.1, BA.1.17, BA.2, BA.4, BA.5, BA.5.2, BG, BQ.1, JN.1, Q (B.1.1.7), XBB.1</t>
  </si>
  <si>
    <t>AY.103, AY.122, AY.25, AY.3, AY.4, AY.43, AY.44, B.1, B.1.1, B.1.617, BA.1, BA.1.1, BA.1.17, BA.2, BA.4, BA.5, BA.5.2, BG, BQ.1, JN.1, Q (B.1.1.7), XBB.1</t>
  </si>
  <si>
    <t>AY.122, AY.3, AY.4, AY.43, B.1, B.1.1, B.1.617, BA.1, BA.1.1, BA.1.17, BA.2, BA.4, BA.5, BA.5.2, BQ.1, JN.1, Q (B.1.1.7), XBB.1</t>
  </si>
  <si>
    <t>B.1, B.1.1, B.1.617, BA.1, BA.1.1, BA.2, BA.4, BA.5, BA.5.2, BG, BQ.1, JN.1, Q (B.1.1.7), XBB.1</t>
  </si>
  <si>
    <t>AY.103, AY.25, AY.3, AY.44, B.1, B.1.1, B.1.617, BA.1, BA.1.1, BA.2, BA.4, BA.5, BA.5.2, BG, BQ.1, JN.1, Q (B.1.1.7), XBB.1</t>
  </si>
  <si>
    <t>AY.122, B.1, B.1.1, B.1.617, BA.1, BA.1.1, BA.2, BA.4, BA.5, BA.5.2, BG, BQ.1, JN.1, Q (B.1.1.7), XBB.1</t>
  </si>
  <si>
    <t>RMSE</t>
  </si>
  <si>
    <t>Group</t>
  </si>
  <si>
    <t>United States</t>
  </si>
  <si>
    <t>AY.103, AY.122, AY.25, AY.3, AY.4, AY.43, AY.44, B.1.1, B.1.617, Q (B.1.1.7)</t>
  </si>
  <si>
    <t xml:space="preserve">BA.1, BA.1.1, BA.1.17, BA.2       </t>
  </si>
  <si>
    <t>BA.4, BA.5, BA.5.2, BG, BQ.1, JN.1, XBB.1</t>
  </si>
  <si>
    <t>BA.1, BA.1.1, BA.1.17, BA.2</t>
  </si>
  <si>
    <t xml:space="preserve">BA.4, BA.5, BA.5.2, BG, BQ.1, JN.1, XBB.1           </t>
  </si>
  <si>
    <t xml:space="preserve">AY.122, B.1.1, B.1.617, Q (B.1.1.7) </t>
  </si>
  <si>
    <t xml:space="preserve">BA.1, BA.1.1, BA.2  </t>
  </si>
  <si>
    <t xml:space="preserve">AY.3, B.1.1, B.1.617, Q (B.1.1.7)  </t>
  </si>
  <si>
    <t xml:space="preserve">BA.1, BA.1.1, BA.1.17, BA.2 </t>
  </si>
  <si>
    <t xml:space="preserve">BA.1, BA.1.1, BA.1.17, BA.2  </t>
  </si>
  <si>
    <t xml:space="preserve">BA.4, BA.5, BA.5.2, BG, BQ.1, JN.1, XBB.1   </t>
  </si>
  <si>
    <t>Before vaccination</t>
  </si>
  <si>
    <t>Vaccine deployment</t>
  </si>
  <si>
    <t>Vaccine scaled up</t>
  </si>
  <si>
    <t>Model</t>
  </si>
  <si>
    <t>Maximum</t>
  </si>
  <si>
    <t>XGBoost</t>
  </si>
  <si>
    <t>BART</t>
  </si>
  <si>
    <t>MARS</t>
  </si>
  <si>
    <t>Ridge</t>
  </si>
  <si>
    <t>ElasticNet</t>
  </si>
  <si>
    <t>Random Forest</t>
  </si>
  <si>
    <t>Variant</t>
  </si>
  <si>
    <t>Start Time</t>
  </si>
  <si>
    <t>Dominance</t>
  </si>
  <si>
    <t>TTD</t>
  </si>
  <si>
    <t>Actual</t>
  </si>
  <si>
    <t>Prediction</t>
  </si>
  <si>
    <t>Maximum Model</t>
  </si>
  <si>
    <t>BG (BA.2.12.1)</t>
  </si>
  <si>
    <t>BN.1</t>
  </si>
  <si>
    <t>BQ.1</t>
  </si>
  <si>
    <t>BQ.1.1</t>
  </si>
  <si>
    <t>XBB.1</t>
  </si>
  <si>
    <t>XBB.1.5</t>
  </si>
  <si>
    <t>BA.2.9 (BA.2.9)</t>
  </si>
  <si>
    <t>BA.4 (BA.4)</t>
  </si>
  <si>
    <t>BA.5 (BA.5)</t>
  </si>
  <si>
    <t>BA.5.1 (BA.5.1)</t>
  </si>
  <si>
    <t>BA.5.2 (BA.5.2)</t>
  </si>
  <si>
    <t>BE.1</t>
  </si>
  <si>
    <t>BF (BA.5.2.1)</t>
  </si>
  <si>
    <t>BF.5</t>
  </si>
  <si>
    <t>BF.7</t>
  </si>
  <si>
    <t>Unassigned</t>
  </si>
  <si>
    <t>BA.2.10 (BA.2.10)</t>
  </si>
  <si>
    <t>BA.2.3 (BA.2.3)</t>
  </si>
  <si>
    <t>XBB</t>
  </si>
  <si>
    <t>BA.2 (BA.2)</t>
  </si>
  <si>
    <t>South Korea</t>
  </si>
  <si>
    <t>United Kingdom</t>
  </si>
  <si>
    <t>Lightbm</t>
  </si>
  <si>
    <t>Bart</t>
  </si>
  <si>
    <t>-</t>
  </si>
  <si>
    <t>Yes</t>
  </si>
  <si>
    <t>All pre-Omicron variants (in 2022) across 15 countries</t>
  </si>
  <si>
    <t>n = 14</t>
  </si>
  <si>
    <t>n = 21</t>
  </si>
  <si>
    <t>n = 28</t>
  </si>
  <si>
    <t>MAE (days)</t>
  </si>
  <si>
    <t>Inf</t>
  </si>
  <si>
    <t>2 Weeks</t>
  </si>
  <si>
    <t>3 Weeks</t>
  </si>
  <si>
    <t>4 Weeks</t>
  </si>
  <si>
    <t>5 Weeks</t>
  </si>
  <si>
    <t>MSE</t>
  </si>
  <si>
    <t>R²</t>
  </si>
  <si>
    <t>Cubist</t>
  </si>
  <si>
    <t>GBM</t>
  </si>
  <si>
    <t>RandomForest</t>
  </si>
  <si>
    <t>SVM_Radial</t>
  </si>
  <si>
    <t>kNN</t>
  </si>
  <si>
    <t>Monthly Peak</t>
  </si>
  <si>
    <t>Days Above 30%</t>
  </si>
  <si>
    <t>AUC</t>
  </si>
  <si>
    <t>NA</t>
  </si>
  <si>
    <t>Group 1 (UK, US), Group 2 (Germany, Japan, Canada, Denmark), Group 3 (France, Sweden, Brazil, Australia, South Korea, Spain), and Group 4 (Austria, Italy, India).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</si>
</sst>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7" formatCode="0.0%"/>
  </numFmts>
  <fonts count="13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1"/>
      <color theme="1"/>
      <name val="Times New Roman"/>
      <family val="1"/>
    </font>
    <font>
      <i/>
      <sz val="11"/>
      <color rgb="FFB0B0B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/>
    <xf numFmtId="0" fontId="0" fillId="2" borderId="2" xfId="0" applyFill="1" applyBorder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/>
    </xf>
    <xf numFmtId="0" fontId="6" fillId="2" borderId="0" xfId="0" applyFont="1" applyFill="1"/>
    <xf numFmtId="0" fontId="6" fillId="2" borderId="2" xfId="0" applyFont="1" applyFill="1" applyBorder="1"/>
    <xf numFmtId="0" fontId="2" fillId="2" borderId="4" xfId="0" applyFont="1" applyFill="1" applyBorder="1"/>
    <xf numFmtId="2" fontId="2" fillId="2" borderId="0" xfId="0" applyNumberFormat="1" applyFont="1" applyFill="1"/>
    <xf numFmtId="0" fontId="2" fillId="2" borderId="1" xfId="0" applyFont="1" applyFill="1" applyBorder="1"/>
    <xf numFmtId="0" fontId="9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4" fontId="10" fillId="0" borderId="0" xfId="0" applyNumberFormat="1" applyFont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64" fontId="2" fillId="3" borderId="0" xfId="0" applyNumberFormat="1" applyFont="1" applyFill="1"/>
    <xf numFmtId="167" fontId="2" fillId="3" borderId="0" xfId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2" fillId="2" borderId="0" xfId="0" applyNumberFormat="1" applyFont="1" applyFill="1"/>
    <xf numFmtId="167" fontId="2" fillId="2" borderId="0" xfId="1" applyNumberFormat="1" applyFont="1" applyFill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/>
    <xf numFmtId="167" fontId="5" fillId="2" borderId="0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2" fillId="2" borderId="2" xfId="0" applyNumberFormat="1" applyFont="1" applyFill="1" applyBorder="1"/>
    <xf numFmtId="167" fontId="2" fillId="2" borderId="2" xfId="1" applyNumberFormat="1" applyFont="1" applyFill="1" applyBorder="1" applyAlignment="1">
      <alignment horizontal="center"/>
    </xf>
    <xf numFmtId="0" fontId="7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right"/>
    </xf>
    <xf numFmtId="2" fontId="2" fillId="2" borderId="2" xfId="0" applyNumberFormat="1" applyFont="1" applyFill="1" applyBorder="1"/>
    <xf numFmtId="2" fontId="11" fillId="2" borderId="0" xfId="0" applyNumberFormat="1" applyFont="1" applyFill="1"/>
    <xf numFmtId="2" fontId="12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27" zoomScale="118" workbookViewId="0">
      <selection activeCell="F40" sqref="F40"/>
    </sheetView>
  </sheetViews>
  <sheetFormatPr baseColWidth="10" defaultRowHeight="15" x14ac:dyDescent="0.2"/>
  <cols>
    <col min="2" max="2" width="14.1640625" bestFit="1" customWidth="1"/>
    <col min="3" max="3" width="17.1640625" bestFit="1" customWidth="1"/>
    <col min="4" max="5" width="15.83203125" customWidth="1"/>
    <col min="6" max="6" width="56.332031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ht="16" thickBot="1" x14ac:dyDescent="0.25">
      <c r="A2" s="1"/>
      <c r="B2" s="4"/>
      <c r="C2" s="4"/>
      <c r="D2" s="4"/>
      <c r="E2" s="4"/>
      <c r="F2" s="4"/>
      <c r="G2" s="1"/>
    </row>
    <row r="3" spans="1:7" ht="16" x14ac:dyDescent="0.2">
      <c r="A3" s="2"/>
      <c r="B3" s="3" t="s">
        <v>45</v>
      </c>
      <c r="C3" s="3"/>
      <c r="D3" s="3" t="s">
        <v>43</v>
      </c>
      <c r="E3" s="3" t="s">
        <v>44</v>
      </c>
      <c r="F3" s="3" t="s">
        <v>46</v>
      </c>
      <c r="G3" s="1"/>
    </row>
    <row r="4" spans="1:7" ht="32" customHeight="1" x14ac:dyDescent="0.2">
      <c r="A4" s="1"/>
      <c r="B4" s="5" t="s">
        <v>0</v>
      </c>
      <c r="C4" s="5"/>
      <c r="D4" s="6">
        <v>43898</v>
      </c>
      <c r="E4" s="6">
        <v>45521</v>
      </c>
      <c r="F4" s="9" t="s">
        <v>47</v>
      </c>
      <c r="G4" s="1"/>
    </row>
    <row r="5" spans="1:7" ht="32" hidden="1" customHeight="1" x14ac:dyDescent="0.2">
      <c r="A5" s="1"/>
      <c r="B5" s="7" t="s">
        <v>1</v>
      </c>
      <c r="C5" s="7"/>
      <c r="D5" s="8">
        <v>43892</v>
      </c>
      <c r="E5" s="8">
        <v>45512</v>
      </c>
      <c r="F5" s="9" t="s">
        <v>2</v>
      </c>
      <c r="G5" s="1"/>
    </row>
    <row r="6" spans="1:7" ht="32" hidden="1" customHeight="1" x14ac:dyDescent="0.2">
      <c r="A6" s="1"/>
      <c r="B6" s="7" t="s">
        <v>3</v>
      </c>
      <c r="C6" s="7"/>
      <c r="D6" s="8">
        <v>43890</v>
      </c>
      <c r="E6" s="8">
        <v>45499</v>
      </c>
      <c r="F6" s="9" t="s">
        <v>4</v>
      </c>
      <c r="G6" s="1"/>
    </row>
    <row r="7" spans="1:7" ht="32" customHeight="1" x14ac:dyDescent="0.2">
      <c r="A7" s="1"/>
      <c r="B7" s="7" t="s">
        <v>5</v>
      </c>
      <c r="C7" s="7"/>
      <c r="D7" s="8">
        <v>43901</v>
      </c>
      <c r="E7" s="8">
        <v>45525</v>
      </c>
      <c r="F7" s="9" t="s">
        <v>48</v>
      </c>
      <c r="G7" s="1"/>
    </row>
    <row r="8" spans="1:7" ht="32" customHeight="1" x14ac:dyDescent="0.2">
      <c r="A8" s="1"/>
      <c r="B8" s="7" t="s">
        <v>6</v>
      </c>
      <c r="C8" s="7"/>
      <c r="D8" s="8">
        <v>43899</v>
      </c>
      <c r="E8" s="8">
        <v>45539</v>
      </c>
      <c r="F8" s="9" t="s">
        <v>49</v>
      </c>
      <c r="G8" s="1"/>
    </row>
    <row r="9" spans="1:7" ht="32" hidden="1" customHeight="1" x14ac:dyDescent="0.2">
      <c r="A9" s="1"/>
      <c r="B9" s="7" t="s">
        <v>7</v>
      </c>
      <c r="C9" s="7"/>
      <c r="D9" s="8">
        <v>44342</v>
      </c>
      <c r="E9" s="8">
        <v>45540</v>
      </c>
      <c r="F9" s="9" t="s">
        <v>8</v>
      </c>
      <c r="G9" s="1"/>
    </row>
    <row r="10" spans="1:7" ht="32" hidden="1" customHeight="1" x14ac:dyDescent="0.2">
      <c r="A10" s="1"/>
      <c r="B10" s="7" t="s">
        <v>9</v>
      </c>
      <c r="C10" s="7"/>
      <c r="D10" s="8">
        <v>43906</v>
      </c>
      <c r="E10" s="8">
        <v>45526</v>
      </c>
      <c r="F10" s="9" t="s">
        <v>10</v>
      </c>
      <c r="G10" s="1"/>
    </row>
    <row r="11" spans="1:7" ht="32" hidden="1" customHeight="1" x14ac:dyDescent="0.2">
      <c r="A11" s="1"/>
      <c r="B11" s="7" t="s">
        <v>11</v>
      </c>
      <c r="C11" s="7"/>
      <c r="D11" s="8">
        <v>43896</v>
      </c>
      <c r="E11" s="8">
        <v>45377</v>
      </c>
      <c r="F11" s="9" t="s">
        <v>12</v>
      </c>
      <c r="G11" s="1"/>
    </row>
    <row r="12" spans="1:7" ht="32" hidden="1" customHeight="1" x14ac:dyDescent="0.2">
      <c r="A12" s="1"/>
      <c r="B12" s="7" t="s">
        <v>13</v>
      </c>
      <c r="C12" s="7"/>
      <c r="D12" s="8">
        <v>43887</v>
      </c>
      <c r="E12" s="8">
        <v>45538</v>
      </c>
      <c r="F12" s="9" t="s">
        <v>4</v>
      </c>
      <c r="G12" s="1"/>
    </row>
    <row r="13" spans="1:7" ht="32" customHeight="1" x14ac:dyDescent="0.2">
      <c r="A13" s="1"/>
      <c r="B13" s="7" t="s">
        <v>14</v>
      </c>
      <c r="C13" s="7"/>
      <c r="D13" s="8">
        <v>43891</v>
      </c>
      <c r="E13" s="8">
        <v>45526</v>
      </c>
      <c r="F13" s="9" t="s">
        <v>49</v>
      </c>
      <c r="G13" s="1"/>
    </row>
    <row r="14" spans="1:7" ht="32" hidden="1" customHeight="1" x14ac:dyDescent="0.2">
      <c r="A14" s="1"/>
      <c r="B14" s="7" t="s">
        <v>15</v>
      </c>
      <c r="C14" s="7"/>
      <c r="D14" s="8">
        <v>43916</v>
      </c>
      <c r="E14" s="8">
        <v>45497</v>
      </c>
      <c r="F14" s="9" t="s">
        <v>16</v>
      </c>
      <c r="G14" s="1"/>
    </row>
    <row r="15" spans="1:7" ht="32" hidden="1" customHeight="1" x14ac:dyDescent="0.2">
      <c r="A15" s="1"/>
      <c r="B15" s="7" t="s">
        <v>17</v>
      </c>
      <c r="C15" s="7"/>
      <c r="D15" s="8">
        <v>43903</v>
      </c>
      <c r="E15" s="8">
        <v>45538</v>
      </c>
      <c r="F15" s="9" t="s">
        <v>2</v>
      </c>
      <c r="G15" s="1"/>
    </row>
    <row r="16" spans="1:7" ht="32" hidden="1" customHeight="1" x14ac:dyDescent="0.2">
      <c r="A16" s="1"/>
      <c r="B16" s="7" t="s">
        <v>18</v>
      </c>
      <c r="C16" s="7"/>
      <c r="D16" s="8">
        <v>43911</v>
      </c>
      <c r="E16" s="8">
        <v>45522</v>
      </c>
      <c r="F16" s="9" t="s">
        <v>2</v>
      </c>
      <c r="G16" s="1"/>
    </row>
    <row r="17" spans="1:7" ht="32" customHeight="1" x14ac:dyDescent="0.2">
      <c r="A17" s="1"/>
      <c r="B17" s="7" t="s">
        <v>19</v>
      </c>
      <c r="C17" s="7"/>
      <c r="D17" s="8">
        <v>43881</v>
      </c>
      <c r="E17" s="8">
        <v>45545</v>
      </c>
      <c r="F17" s="9" t="s">
        <v>50</v>
      </c>
      <c r="G17" s="1"/>
    </row>
    <row r="18" spans="1:7" ht="32" customHeight="1" x14ac:dyDescent="0.2">
      <c r="A18" s="1"/>
      <c r="B18" s="7" t="s">
        <v>21</v>
      </c>
      <c r="C18" s="7"/>
      <c r="D18" s="8">
        <v>43885</v>
      </c>
      <c r="E18" s="8">
        <v>45531</v>
      </c>
      <c r="F18" s="9" t="s">
        <v>51</v>
      </c>
      <c r="G18" s="1"/>
    </row>
    <row r="19" spans="1:7" ht="32" hidden="1" customHeight="1" x14ac:dyDescent="0.2">
      <c r="A19" s="1"/>
      <c r="B19" s="7" t="s">
        <v>22</v>
      </c>
      <c r="C19" s="7"/>
      <c r="D19" s="8">
        <v>43901</v>
      </c>
      <c r="E19" s="8">
        <v>45515</v>
      </c>
      <c r="F19" s="9" t="s">
        <v>20</v>
      </c>
      <c r="G19" s="1"/>
    </row>
    <row r="20" spans="1:7" ht="32" customHeight="1" x14ac:dyDescent="0.2">
      <c r="A20" s="1"/>
      <c r="B20" s="7" t="s">
        <v>23</v>
      </c>
      <c r="C20" s="7"/>
      <c r="D20" s="8">
        <v>43914</v>
      </c>
      <c r="E20" s="8">
        <v>45496</v>
      </c>
      <c r="F20" s="9" t="s">
        <v>52</v>
      </c>
      <c r="G20" s="1"/>
    </row>
    <row r="21" spans="1:7" ht="32" hidden="1" customHeight="1" x14ac:dyDescent="0.2">
      <c r="A21" s="1"/>
      <c r="B21" s="7" t="s">
        <v>24</v>
      </c>
      <c r="C21" s="7"/>
      <c r="D21" s="8">
        <v>43888</v>
      </c>
      <c r="E21" s="8">
        <v>45539</v>
      </c>
      <c r="F21" s="9" t="s">
        <v>4</v>
      </c>
      <c r="G21" s="1"/>
    </row>
    <row r="22" spans="1:7" ht="32" hidden="1" customHeight="1" x14ac:dyDescent="0.2">
      <c r="A22" s="1"/>
      <c r="B22" s="7" t="s">
        <v>25</v>
      </c>
      <c r="C22" s="7"/>
      <c r="D22" s="8">
        <v>43892</v>
      </c>
      <c r="E22" s="8">
        <v>45525</v>
      </c>
      <c r="F22" s="9" t="s">
        <v>20</v>
      </c>
      <c r="G22" s="1"/>
    </row>
    <row r="23" spans="1:7" ht="32" hidden="1" customHeight="1" x14ac:dyDescent="0.2">
      <c r="A23" s="1"/>
      <c r="B23" s="7" t="s">
        <v>26</v>
      </c>
      <c r="C23" s="7"/>
      <c r="D23" s="8">
        <v>43895</v>
      </c>
      <c r="E23" s="8">
        <v>45507</v>
      </c>
      <c r="F23" s="9" t="s">
        <v>27</v>
      </c>
      <c r="G23" s="1"/>
    </row>
    <row r="24" spans="1:7" ht="32" hidden="1" customHeight="1" x14ac:dyDescent="0.2">
      <c r="A24" s="1"/>
      <c r="B24" s="7" t="s">
        <v>28</v>
      </c>
      <c r="C24" s="7"/>
      <c r="D24" s="8">
        <v>43916</v>
      </c>
      <c r="E24" s="8">
        <v>45539</v>
      </c>
      <c r="F24" s="9" t="s">
        <v>29</v>
      </c>
      <c r="G24" s="1"/>
    </row>
    <row r="25" spans="1:7" ht="32" hidden="1" customHeight="1" x14ac:dyDescent="0.2">
      <c r="A25" s="1"/>
      <c r="B25" s="7" t="s">
        <v>30</v>
      </c>
      <c r="C25" s="7"/>
      <c r="D25" s="8">
        <v>43915</v>
      </c>
      <c r="E25" s="8">
        <v>45502</v>
      </c>
      <c r="F25" s="9" t="s">
        <v>31</v>
      </c>
      <c r="G25" s="1"/>
    </row>
    <row r="26" spans="1:7" ht="32" hidden="1" customHeight="1" x14ac:dyDescent="0.2">
      <c r="A26" s="1"/>
      <c r="B26" s="7" t="s">
        <v>32</v>
      </c>
      <c r="C26" s="7"/>
      <c r="D26" s="8">
        <v>43896</v>
      </c>
      <c r="E26" s="8">
        <v>45544</v>
      </c>
      <c r="F26" s="9" t="s">
        <v>33</v>
      </c>
      <c r="G26" s="1"/>
    </row>
    <row r="27" spans="1:7" ht="32" customHeight="1" x14ac:dyDescent="0.2">
      <c r="A27" s="1"/>
      <c r="B27" s="7" t="s">
        <v>34</v>
      </c>
      <c r="C27" s="7"/>
      <c r="D27" s="8">
        <v>43954</v>
      </c>
      <c r="E27" s="8">
        <v>45528</v>
      </c>
      <c r="F27" s="9" t="s">
        <v>53</v>
      </c>
      <c r="G27" s="1"/>
    </row>
    <row r="28" spans="1:7" ht="32" hidden="1" customHeight="1" x14ac:dyDescent="0.2">
      <c r="A28" s="1"/>
      <c r="B28" s="7" t="s">
        <v>35</v>
      </c>
      <c r="C28" s="7"/>
      <c r="D28" s="8">
        <v>43889</v>
      </c>
      <c r="E28" s="8">
        <v>45544</v>
      </c>
      <c r="F28" s="9" t="s">
        <v>4</v>
      </c>
      <c r="G28" s="1"/>
    </row>
    <row r="29" spans="1:7" ht="32" hidden="1" customHeight="1" x14ac:dyDescent="0.2">
      <c r="A29" s="1"/>
      <c r="B29" s="7" t="s">
        <v>36</v>
      </c>
      <c r="C29" s="7"/>
      <c r="D29" s="8">
        <v>43892</v>
      </c>
      <c r="E29" s="8">
        <v>45538</v>
      </c>
      <c r="F29" s="9" t="s">
        <v>20</v>
      </c>
      <c r="G29" s="1"/>
    </row>
    <row r="30" spans="1:7" ht="32" hidden="1" customHeight="1" x14ac:dyDescent="0.2">
      <c r="A30" s="1"/>
      <c r="B30" s="7" t="s">
        <v>37</v>
      </c>
      <c r="C30" s="7"/>
      <c r="D30" s="8">
        <v>43887</v>
      </c>
      <c r="E30" s="8">
        <v>45509</v>
      </c>
      <c r="F30" s="9" t="s">
        <v>38</v>
      </c>
      <c r="G30" s="1"/>
    </row>
    <row r="31" spans="1:7" ht="32" hidden="1" customHeight="1" x14ac:dyDescent="0.2">
      <c r="A31" s="1"/>
      <c r="B31" s="7" t="s">
        <v>39</v>
      </c>
      <c r="C31" s="7"/>
      <c r="D31" s="8">
        <v>43943</v>
      </c>
      <c r="E31" s="8">
        <v>44987</v>
      </c>
      <c r="F31" s="9" t="s">
        <v>40</v>
      </c>
      <c r="G31" s="1"/>
    </row>
    <row r="32" spans="1:7" ht="32" customHeight="1" x14ac:dyDescent="0.2">
      <c r="A32" s="1"/>
      <c r="B32" s="7" t="s">
        <v>41</v>
      </c>
      <c r="C32" s="7"/>
      <c r="D32" s="8">
        <v>43889</v>
      </c>
      <c r="E32" s="8">
        <v>45542</v>
      </c>
      <c r="F32" s="9" t="s">
        <v>49</v>
      </c>
      <c r="G32" s="1"/>
    </row>
    <row r="33" spans="1:7" ht="32" customHeight="1" thickBot="1" x14ac:dyDescent="0.25">
      <c r="A33" s="1"/>
      <c r="B33" s="10" t="s">
        <v>42</v>
      </c>
      <c r="C33" s="10"/>
      <c r="D33" s="11">
        <v>43885</v>
      </c>
      <c r="E33" s="11">
        <v>45535</v>
      </c>
      <c r="F33" s="12" t="s">
        <v>49</v>
      </c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ht="16" thickBot="1" x14ac:dyDescent="0.25">
      <c r="A39" s="1"/>
      <c r="B39" s="4"/>
      <c r="C39" s="4"/>
      <c r="D39" s="4"/>
      <c r="E39" s="4"/>
      <c r="F39" s="4"/>
      <c r="G39" s="1"/>
    </row>
    <row r="40" spans="1:7" ht="16" x14ac:dyDescent="0.2">
      <c r="A40" s="2"/>
      <c r="B40" s="3" t="s">
        <v>45</v>
      </c>
      <c r="C40" s="3" t="s">
        <v>55</v>
      </c>
      <c r="D40" s="3" t="s">
        <v>43</v>
      </c>
      <c r="E40" s="3" t="s">
        <v>44</v>
      </c>
      <c r="F40" s="3" t="s">
        <v>46</v>
      </c>
      <c r="G40" s="1"/>
    </row>
    <row r="41" spans="1:7" x14ac:dyDescent="0.2">
      <c r="A41" s="1"/>
      <c r="B41" s="55" t="s">
        <v>56</v>
      </c>
      <c r="C41" s="17" t="s">
        <v>68</v>
      </c>
      <c r="D41" s="18">
        <v>43883</v>
      </c>
      <c r="E41" s="18">
        <v>44760</v>
      </c>
      <c r="F41" s="21" t="s">
        <v>57</v>
      </c>
      <c r="G41" s="1"/>
    </row>
    <row r="42" spans="1:7" x14ac:dyDescent="0.2">
      <c r="A42" s="1"/>
      <c r="B42" s="53"/>
      <c r="C42" s="17" t="s">
        <v>69</v>
      </c>
      <c r="D42" s="18">
        <v>44132</v>
      </c>
      <c r="E42" s="18">
        <v>45391</v>
      </c>
      <c r="F42" s="21" t="s">
        <v>58</v>
      </c>
      <c r="G42" s="1"/>
    </row>
    <row r="43" spans="1:7" x14ac:dyDescent="0.2">
      <c r="A43" s="1"/>
      <c r="B43" s="53"/>
      <c r="C43" s="17" t="s">
        <v>70</v>
      </c>
      <c r="D43" s="18">
        <v>44555</v>
      </c>
      <c r="E43" s="18">
        <v>45528</v>
      </c>
      <c r="F43" s="21" t="s">
        <v>59</v>
      </c>
      <c r="G43" s="1"/>
    </row>
    <row r="44" spans="1:7" ht="3" customHeight="1" x14ac:dyDescent="0.2">
      <c r="A44" s="1"/>
      <c r="B44" s="17"/>
      <c r="C44" s="17"/>
      <c r="D44" s="18"/>
      <c r="E44" s="18"/>
      <c r="F44" s="21"/>
      <c r="G44" s="1"/>
    </row>
    <row r="45" spans="1:7" x14ac:dyDescent="0.2">
      <c r="A45" s="1"/>
      <c r="B45" s="53" t="s">
        <v>42</v>
      </c>
      <c r="C45" s="17" t="s">
        <v>68</v>
      </c>
      <c r="D45" s="18">
        <v>43876</v>
      </c>
      <c r="E45" s="18">
        <v>44635</v>
      </c>
      <c r="F45" s="21" t="s">
        <v>57</v>
      </c>
      <c r="G45" s="1"/>
    </row>
    <row r="46" spans="1:7" x14ac:dyDescent="0.2">
      <c r="A46" s="1"/>
      <c r="B46" s="53"/>
      <c r="C46" s="17" t="s">
        <v>69</v>
      </c>
      <c r="D46" s="18">
        <v>44197</v>
      </c>
      <c r="E46" s="18">
        <v>44872</v>
      </c>
      <c r="F46" s="21" t="s">
        <v>60</v>
      </c>
      <c r="G46" s="1"/>
    </row>
    <row r="47" spans="1:7" x14ac:dyDescent="0.2">
      <c r="A47" s="1"/>
      <c r="B47" s="53"/>
      <c r="C47" s="17" t="s">
        <v>70</v>
      </c>
      <c r="D47" s="18">
        <v>44646</v>
      </c>
      <c r="E47" s="18">
        <v>45521</v>
      </c>
      <c r="F47" s="21" t="s">
        <v>61</v>
      </c>
      <c r="G47" s="1"/>
    </row>
    <row r="48" spans="1:7" ht="3" customHeight="1" x14ac:dyDescent="0.2">
      <c r="A48" s="1"/>
      <c r="B48" s="17"/>
      <c r="C48" s="17"/>
      <c r="D48" s="18"/>
      <c r="E48" s="18"/>
      <c r="F48" s="21"/>
      <c r="G48" s="1"/>
    </row>
    <row r="49" spans="1:7" x14ac:dyDescent="0.2">
      <c r="A49" s="1"/>
      <c r="B49" s="53" t="s">
        <v>34</v>
      </c>
      <c r="C49" s="17" t="s">
        <v>68</v>
      </c>
      <c r="D49" s="18">
        <v>43906</v>
      </c>
      <c r="E49" s="18">
        <v>44590</v>
      </c>
      <c r="F49" s="21" t="s">
        <v>62</v>
      </c>
      <c r="G49" s="1"/>
    </row>
    <row r="50" spans="1:7" x14ac:dyDescent="0.2">
      <c r="A50" s="1"/>
      <c r="B50" s="53"/>
      <c r="C50" s="17" t="s">
        <v>69</v>
      </c>
      <c r="D50" s="18">
        <v>44525</v>
      </c>
      <c r="E50" s="18">
        <v>44966</v>
      </c>
      <c r="F50" s="21" t="s">
        <v>63</v>
      </c>
      <c r="G50" s="1"/>
    </row>
    <row r="51" spans="1:7" x14ac:dyDescent="0.2">
      <c r="A51" s="1"/>
      <c r="B51" s="53"/>
      <c r="C51" s="17" t="s">
        <v>70</v>
      </c>
      <c r="D51" s="18">
        <v>44669</v>
      </c>
      <c r="E51" s="18">
        <v>45514</v>
      </c>
      <c r="F51" s="21" t="s">
        <v>59</v>
      </c>
      <c r="G51" s="1"/>
    </row>
    <row r="52" spans="1:7" ht="3" customHeight="1" x14ac:dyDescent="0.2">
      <c r="A52" s="1"/>
      <c r="B52" s="17"/>
      <c r="C52" s="17"/>
      <c r="D52" s="18"/>
      <c r="E52" s="18"/>
      <c r="F52" s="21"/>
      <c r="G52" s="1"/>
    </row>
    <row r="53" spans="1:7" x14ac:dyDescent="0.2">
      <c r="A53" s="1"/>
      <c r="B53" s="53" t="s">
        <v>0</v>
      </c>
      <c r="C53" s="17" t="s">
        <v>68</v>
      </c>
      <c r="D53" s="18">
        <v>43896</v>
      </c>
      <c r="E53" s="18">
        <v>44866</v>
      </c>
      <c r="F53" s="21" t="s">
        <v>64</v>
      </c>
      <c r="G53" s="1"/>
    </row>
    <row r="54" spans="1:7" x14ac:dyDescent="0.2">
      <c r="A54" s="1"/>
      <c r="B54" s="53"/>
      <c r="C54" s="17" t="s">
        <v>69</v>
      </c>
      <c r="D54" s="18">
        <v>44526</v>
      </c>
      <c r="E54" s="18">
        <v>45262</v>
      </c>
      <c r="F54" s="21" t="s">
        <v>65</v>
      </c>
      <c r="G54" s="1"/>
    </row>
    <row r="55" spans="1:7" x14ac:dyDescent="0.2">
      <c r="A55" s="1"/>
      <c r="B55" s="53"/>
      <c r="C55" s="17" t="s">
        <v>70</v>
      </c>
      <c r="D55" s="18">
        <v>44666</v>
      </c>
      <c r="E55" s="18">
        <v>45507</v>
      </c>
      <c r="F55" s="21" t="s">
        <v>59</v>
      </c>
      <c r="G55" s="1"/>
    </row>
    <row r="56" spans="1:7" ht="3" customHeight="1" x14ac:dyDescent="0.2">
      <c r="A56" s="1"/>
      <c r="B56" s="17"/>
      <c r="C56" s="17"/>
      <c r="D56" s="18"/>
      <c r="E56" s="18"/>
      <c r="F56" s="21"/>
      <c r="G56" s="1"/>
    </row>
    <row r="57" spans="1:7" x14ac:dyDescent="0.2">
      <c r="A57" s="1"/>
      <c r="B57" s="53" t="s">
        <v>6</v>
      </c>
      <c r="C57" s="17" t="s">
        <v>68</v>
      </c>
      <c r="D57" s="18">
        <v>43892</v>
      </c>
      <c r="E57" s="18">
        <v>44590</v>
      </c>
      <c r="F57" s="21" t="s">
        <v>57</v>
      </c>
      <c r="G57" s="1"/>
    </row>
    <row r="58" spans="1:7" x14ac:dyDescent="0.2">
      <c r="A58" s="1"/>
      <c r="B58" s="53"/>
      <c r="C58" s="17" t="s">
        <v>69</v>
      </c>
      <c r="D58" s="18">
        <v>44514</v>
      </c>
      <c r="E58" s="18">
        <v>44864</v>
      </c>
      <c r="F58" s="21" t="s">
        <v>66</v>
      </c>
      <c r="G58" s="1"/>
    </row>
    <row r="59" spans="1:7" ht="16" thickBot="1" x14ac:dyDescent="0.25">
      <c r="A59" s="1"/>
      <c r="B59" s="54"/>
      <c r="C59" s="19" t="s">
        <v>70</v>
      </c>
      <c r="D59" s="20">
        <v>44606</v>
      </c>
      <c r="E59" s="20">
        <v>45525</v>
      </c>
      <c r="F59" s="22" t="s">
        <v>67</v>
      </c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B61" s="1"/>
      <c r="C61" s="1"/>
      <c r="D61" s="1"/>
      <c r="E61" s="1"/>
      <c r="F61" s="1"/>
      <c r="G61" s="1"/>
    </row>
  </sheetData>
  <mergeCells count="5">
    <mergeCell ref="B57:B59"/>
    <mergeCell ref="B41:B43"/>
    <mergeCell ref="B45:B47"/>
    <mergeCell ref="B49:B51"/>
    <mergeCell ref="B53:B5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2A07-983F-3A40-8511-F4DAE90D727B}">
  <dimension ref="B2:S242"/>
  <sheetViews>
    <sheetView tabSelected="1" topLeftCell="A163" zoomScale="112" zoomScaleNormal="112" workbookViewId="0">
      <selection activeCell="N60" sqref="N60"/>
    </sheetView>
  </sheetViews>
  <sheetFormatPr baseColWidth="10" defaultRowHeight="15" x14ac:dyDescent="0.2"/>
  <cols>
    <col min="3" max="3" width="15.6640625" bestFit="1" customWidth="1"/>
    <col min="4" max="4" width="17" bestFit="1" customWidth="1"/>
    <col min="5" max="5" width="14.33203125" bestFit="1" customWidth="1"/>
    <col min="6" max="6" width="13.6640625" bestFit="1" customWidth="1"/>
    <col min="7" max="12" width="10.83203125" style="32"/>
  </cols>
  <sheetData>
    <row r="2" spans="2:19" ht="19" x14ac:dyDescent="0.25">
      <c r="B2" s="1"/>
      <c r="C2" s="47" t="s">
        <v>112</v>
      </c>
      <c r="D2" s="1"/>
      <c r="E2" s="1"/>
      <c r="F2" s="1"/>
      <c r="G2" s="34"/>
      <c r="H2" s="34"/>
      <c r="I2" s="34"/>
      <c r="J2" s="34"/>
      <c r="K2" s="34"/>
      <c r="L2" s="34"/>
      <c r="M2" s="1"/>
    </row>
    <row r="3" spans="2:19" x14ac:dyDescent="0.2">
      <c r="B3" s="1"/>
      <c r="C3" s="1"/>
      <c r="D3" s="1"/>
      <c r="E3" s="1"/>
      <c r="F3" s="1"/>
      <c r="G3" s="34"/>
      <c r="H3" s="34"/>
      <c r="I3" s="34"/>
      <c r="J3" s="34"/>
      <c r="K3" s="34"/>
      <c r="L3" s="34"/>
      <c r="M3" s="1"/>
    </row>
    <row r="4" spans="2:19" x14ac:dyDescent="0.2">
      <c r="B4" s="1"/>
      <c r="C4" s="1"/>
      <c r="D4" s="1"/>
      <c r="E4" s="1"/>
      <c r="F4" s="1"/>
      <c r="G4" s="34"/>
      <c r="H4" s="34"/>
      <c r="I4" s="34"/>
      <c r="J4" s="34"/>
      <c r="K4" s="34"/>
      <c r="L4" s="34"/>
      <c r="M4" s="1"/>
    </row>
    <row r="5" spans="2:19" ht="16" thickBot="1" x14ac:dyDescent="0.25">
      <c r="B5" s="1"/>
      <c r="C5" s="4"/>
      <c r="D5" s="4"/>
      <c r="E5" s="4"/>
      <c r="F5" s="4"/>
      <c r="G5" s="35"/>
      <c r="H5" s="35"/>
      <c r="I5" s="35"/>
      <c r="J5" s="35"/>
      <c r="K5" s="35"/>
      <c r="L5" s="35"/>
      <c r="M5" s="1"/>
    </row>
    <row r="6" spans="2:19" x14ac:dyDescent="0.2">
      <c r="B6" s="1"/>
      <c r="C6" s="23"/>
      <c r="D6" s="23"/>
      <c r="E6" s="23"/>
      <c r="F6" s="23"/>
      <c r="G6" s="56" t="s">
        <v>83</v>
      </c>
      <c r="H6" s="56"/>
      <c r="I6" s="56"/>
      <c r="J6" s="56" t="s">
        <v>84</v>
      </c>
      <c r="K6" s="56"/>
      <c r="L6" s="56"/>
      <c r="M6" s="1"/>
    </row>
    <row r="7" spans="2:19" x14ac:dyDescent="0.2">
      <c r="B7" s="1"/>
      <c r="C7" s="25" t="s">
        <v>45</v>
      </c>
      <c r="D7" s="25" t="s">
        <v>79</v>
      </c>
      <c r="E7" s="25" t="s">
        <v>85</v>
      </c>
      <c r="F7" s="49" t="s">
        <v>80</v>
      </c>
      <c r="G7" s="27" t="s">
        <v>72</v>
      </c>
      <c r="H7" s="27" t="s">
        <v>81</v>
      </c>
      <c r="I7" s="27" t="s">
        <v>82</v>
      </c>
      <c r="J7" s="27" t="s">
        <v>72</v>
      </c>
      <c r="K7" s="27" t="s">
        <v>81</v>
      </c>
      <c r="L7" s="27" t="s">
        <v>82</v>
      </c>
      <c r="M7" s="1"/>
      <c r="N7" s="30"/>
      <c r="O7" s="31"/>
      <c r="P7" s="31"/>
      <c r="Q7" s="31"/>
      <c r="R7" s="31"/>
      <c r="S7" s="33"/>
    </row>
    <row r="8" spans="2:19" x14ac:dyDescent="0.2">
      <c r="B8" s="1"/>
      <c r="C8" s="16" t="s">
        <v>41</v>
      </c>
      <c r="D8" s="16" t="s">
        <v>102</v>
      </c>
      <c r="E8" s="16" t="s">
        <v>108</v>
      </c>
      <c r="F8" s="36">
        <v>44562</v>
      </c>
      <c r="G8" s="37">
        <v>3.4865317999999999E-2</v>
      </c>
      <c r="H8" s="38" t="str">
        <f>IF(G8&gt;0.5, "Yes", "No")</f>
        <v>No</v>
      </c>
      <c r="I8" s="38" t="str">
        <f>IF(H8="No", "-", "")</f>
        <v>-</v>
      </c>
      <c r="J8" s="37">
        <v>0.1581253</v>
      </c>
      <c r="K8" s="38" t="str">
        <f>IF(J8&gt;0.5, "Yes", "No")</f>
        <v>No</v>
      </c>
      <c r="L8" s="38" t="s">
        <v>110</v>
      </c>
      <c r="M8" s="1"/>
      <c r="N8" s="30"/>
      <c r="O8" s="31"/>
      <c r="P8" s="31"/>
      <c r="Q8" s="31"/>
      <c r="R8" s="31"/>
      <c r="S8" s="33"/>
    </row>
    <row r="9" spans="2:19" x14ac:dyDescent="0.2">
      <c r="B9" s="1"/>
      <c r="C9" s="16" t="s">
        <v>41</v>
      </c>
      <c r="D9" s="16" t="s">
        <v>92</v>
      </c>
      <c r="E9" s="16" t="s">
        <v>108</v>
      </c>
      <c r="F9" s="36">
        <v>44576</v>
      </c>
      <c r="G9" s="37">
        <v>7.7178515000000003E-2</v>
      </c>
      <c r="H9" s="38" t="str">
        <f t="shared" ref="H9:H72" si="0">IF(G9&gt;0.5, "Yes", "No")</f>
        <v>No</v>
      </c>
      <c r="I9" s="38" t="str">
        <f t="shared" ref="I9:I72" si="1">IF(H9="No", "-", "")</f>
        <v>-</v>
      </c>
      <c r="J9" s="37">
        <v>0.25702439999999999</v>
      </c>
      <c r="K9" s="38" t="str">
        <f t="shared" ref="K9:K72" si="2">IF(J9&gt;0.5, "Yes", "No")</f>
        <v>No</v>
      </c>
      <c r="L9" s="38" t="s">
        <v>110</v>
      </c>
      <c r="M9" s="1"/>
      <c r="N9" s="30"/>
      <c r="O9" s="31"/>
      <c r="P9" s="31"/>
      <c r="Q9" s="31"/>
      <c r="R9" s="31"/>
      <c r="S9" s="33"/>
    </row>
    <row r="10" spans="2:19" x14ac:dyDescent="0.2">
      <c r="B10" s="1"/>
      <c r="C10" s="16" t="s">
        <v>41</v>
      </c>
      <c r="D10" s="16" t="s">
        <v>93</v>
      </c>
      <c r="E10" s="16" t="s">
        <v>108</v>
      </c>
      <c r="F10" s="36">
        <v>44650</v>
      </c>
      <c r="G10" s="37">
        <v>0.15757654900000001</v>
      </c>
      <c r="H10" s="38" t="str">
        <f t="shared" si="0"/>
        <v>No</v>
      </c>
      <c r="I10" s="38" t="str">
        <f t="shared" si="1"/>
        <v>-</v>
      </c>
      <c r="J10" s="37">
        <v>0.2934544</v>
      </c>
      <c r="K10" s="38" t="str">
        <f t="shared" si="2"/>
        <v>No</v>
      </c>
      <c r="L10" s="38" t="s">
        <v>110</v>
      </c>
      <c r="M10" s="1"/>
      <c r="N10" s="30"/>
      <c r="O10" s="31"/>
      <c r="P10" s="31"/>
      <c r="Q10" s="31"/>
      <c r="R10" s="31"/>
      <c r="S10" s="33"/>
    </row>
    <row r="11" spans="2:19" x14ac:dyDescent="0.2">
      <c r="B11" s="1"/>
      <c r="C11" s="16" t="s">
        <v>41</v>
      </c>
      <c r="D11" s="16" t="s">
        <v>94</v>
      </c>
      <c r="E11" s="16" t="s">
        <v>108</v>
      </c>
      <c r="F11" s="36">
        <v>44657</v>
      </c>
      <c r="G11" s="37">
        <v>0.22275968199999999</v>
      </c>
      <c r="H11" s="38" t="str">
        <f t="shared" si="0"/>
        <v>No</v>
      </c>
      <c r="I11" s="38" t="str">
        <f t="shared" si="1"/>
        <v>-</v>
      </c>
      <c r="J11" s="37">
        <v>0.29058970000000001</v>
      </c>
      <c r="K11" s="38" t="str">
        <f t="shared" si="2"/>
        <v>No</v>
      </c>
      <c r="L11" s="38" t="s">
        <v>110</v>
      </c>
      <c r="M11" s="1"/>
      <c r="N11" s="30"/>
      <c r="O11" s="31"/>
      <c r="P11" s="31"/>
      <c r="Q11" s="31"/>
      <c r="R11" s="31"/>
      <c r="S11" s="33"/>
    </row>
    <row r="12" spans="2:19" x14ac:dyDescent="0.2">
      <c r="B12" s="1"/>
      <c r="C12" s="16" t="s">
        <v>41</v>
      </c>
      <c r="D12" s="16" t="s">
        <v>95</v>
      </c>
      <c r="E12" s="16" t="s">
        <v>108</v>
      </c>
      <c r="F12" s="36">
        <v>44679</v>
      </c>
      <c r="G12" s="37">
        <v>0.20270980299999999</v>
      </c>
      <c r="H12" s="38" t="str">
        <f t="shared" si="0"/>
        <v>No</v>
      </c>
      <c r="I12" s="38" t="str">
        <f t="shared" si="1"/>
        <v>-</v>
      </c>
      <c r="J12" s="37">
        <v>0.26986599999999999</v>
      </c>
      <c r="K12" s="38" t="str">
        <f t="shared" si="2"/>
        <v>No</v>
      </c>
      <c r="L12" s="38" t="s">
        <v>110</v>
      </c>
      <c r="M12" s="1"/>
      <c r="N12" s="30"/>
      <c r="O12" s="31"/>
      <c r="P12" s="31"/>
      <c r="Q12" s="31"/>
      <c r="R12" s="31"/>
      <c r="S12" s="33"/>
    </row>
    <row r="13" spans="2:19" x14ac:dyDescent="0.2">
      <c r="B13" s="1"/>
      <c r="C13" s="16" t="s">
        <v>41</v>
      </c>
      <c r="D13" s="16" t="s">
        <v>96</v>
      </c>
      <c r="E13" s="16" t="s">
        <v>108</v>
      </c>
      <c r="F13" s="36">
        <v>44680</v>
      </c>
      <c r="G13" s="37">
        <v>0.25217371500000002</v>
      </c>
      <c r="H13" s="38" t="str">
        <f t="shared" si="0"/>
        <v>No</v>
      </c>
      <c r="I13" s="38" t="str">
        <f t="shared" si="1"/>
        <v>-</v>
      </c>
      <c r="J13" s="37">
        <v>0.28811160000000002</v>
      </c>
      <c r="K13" s="38" t="str">
        <f t="shared" si="2"/>
        <v>No</v>
      </c>
      <c r="L13" s="38" t="s">
        <v>110</v>
      </c>
      <c r="M13" s="1"/>
      <c r="N13" s="30"/>
      <c r="O13" s="31"/>
      <c r="P13" s="31"/>
      <c r="Q13" s="31"/>
      <c r="R13" s="31"/>
      <c r="S13" s="33"/>
    </row>
    <row r="14" spans="2:19" x14ac:dyDescent="0.2">
      <c r="B14" s="1"/>
      <c r="C14" s="16" t="s">
        <v>41</v>
      </c>
      <c r="D14" s="16" t="s">
        <v>97</v>
      </c>
      <c r="E14" s="16" t="s">
        <v>108</v>
      </c>
      <c r="F14" s="36">
        <v>44685</v>
      </c>
      <c r="G14" s="37">
        <v>3.7929093999999997E-2</v>
      </c>
      <c r="H14" s="38" t="str">
        <f t="shared" si="0"/>
        <v>No</v>
      </c>
      <c r="I14" s="38" t="str">
        <f t="shared" si="1"/>
        <v>-</v>
      </c>
      <c r="J14" s="37">
        <v>0.1550232</v>
      </c>
      <c r="K14" s="38" t="str">
        <f t="shared" si="2"/>
        <v>No</v>
      </c>
      <c r="L14" s="38" t="s">
        <v>110</v>
      </c>
      <c r="M14" s="1"/>
      <c r="N14" s="30"/>
      <c r="O14" s="31"/>
      <c r="P14" s="31"/>
      <c r="Q14" s="31"/>
      <c r="R14" s="31"/>
      <c r="S14" s="33"/>
    </row>
    <row r="15" spans="2:19" x14ac:dyDescent="0.2">
      <c r="B15" s="1"/>
      <c r="C15" s="16" t="s">
        <v>41</v>
      </c>
      <c r="D15" s="16" t="s">
        <v>98</v>
      </c>
      <c r="E15" s="16" t="s">
        <v>108</v>
      </c>
      <c r="F15" s="36">
        <v>44670</v>
      </c>
      <c r="G15" s="37">
        <v>0.26727794599999999</v>
      </c>
      <c r="H15" s="38" t="str">
        <f t="shared" si="0"/>
        <v>No</v>
      </c>
      <c r="I15" s="38" t="str">
        <f t="shared" si="1"/>
        <v>-</v>
      </c>
      <c r="J15" s="37">
        <v>0.30077969999999998</v>
      </c>
      <c r="K15" s="38" t="str">
        <f t="shared" si="2"/>
        <v>No</v>
      </c>
      <c r="L15" s="38" t="s">
        <v>110</v>
      </c>
      <c r="M15" s="1"/>
      <c r="N15" s="30"/>
      <c r="O15" s="31"/>
      <c r="P15" s="31"/>
      <c r="Q15" s="31"/>
      <c r="R15" s="31"/>
      <c r="S15" s="33"/>
    </row>
    <row r="16" spans="2:19" x14ac:dyDescent="0.2">
      <c r="B16" s="1"/>
      <c r="C16" s="16" t="s">
        <v>41</v>
      </c>
      <c r="D16" s="16" t="s">
        <v>99</v>
      </c>
      <c r="E16" s="16" t="s">
        <v>108</v>
      </c>
      <c r="F16" s="36">
        <v>44698</v>
      </c>
      <c r="G16" s="37">
        <v>2.4024186999999999E-2</v>
      </c>
      <c r="H16" s="38" t="str">
        <f t="shared" si="0"/>
        <v>No</v>
      </c>
      <c r="I16" s="38" t="str">
        <f t="shared" si="1"/>
        <v>-</v>
      </c>
      <c r="J16" s="37">
        <v>0.115702</v>
      </c>
      <c r="K16" s="38" t="str">
        <f t="shared" si="2"/>
        <v>No</v>
      </c>
      <c r="L16" s="38" t="s">
        <v>110</v>
      </c>
      <c r="M16" s="1"/>
      <c r="N16" s="30"/>
      <c r="O16" s="31"/>
      <c r="P16" s="31"/>
      <c r="Q16" s="31"/>
      <c r="R16" s="31"/>
      <c r="S16" s="33"/>
    </row>
    <row r="17" spans="2:19" x14ac:dyDescent="0.2">
      <c r="B17" s="1"/>
      <c r="C17" s="16" t="s">
        <v>41</v>
      </c>
      <c r="D17" s="16" t="s">
        <v>100</v>
      </c>
      <c r="E17" s="16" t="s">
        <v>108</v>
      </c>
      <c r="F17" s="36">
        <v>44742</v>
      </c>
      <c r="G17" s="37">
        <v>6.9134607000000001E-2</v>
      </c>
      <c r="H17" s="38" t="str">
        <f t="shared" si="0"/>
        <v>No</v>
      </c>
      <c r="I17" s="38" t="str">
        <f t="shared" si="1"/>
        <v>-</v>
      </c>
      <c r="J17" s="37">
        <v>0.1519083</v>
      </c>
      <c r="K17" s="38" t="str">
        <f t="shared" si="2"/>
        <v>No</v>
      </c>
      <c r="L17" s="38" t="s">
        <v>110</v>
      </c>
      <c r="M17" s="1"/>
      <c r="N17" s="30"/>
      <c r="O17" s="31"/>
      <c r="P17" s="31"/>
      <c r="Q17" s="31"/>
      <c r="R17" s="31"/>
      <c r="S17" s="33"/>
    </row>
    <row r="18" spans="2:19" x14ac:dyDescent="0.2">
      <c r="B18" s="1"/>
      <c r="C18" s="16" t="s">
        <v>41</v>
      </c>
      <c r="D18" s="16" t="s">
        <v>87</v>
      </c>
      <c r="E18" s="16" t="s">
        <v>108</v>
      </c>
      <c r="F18" s="36">
        <v>44810</v>
      </c>
      <c r="G18" s="37">
        <v>2.9552083E-2</v>
      </c>
      <c r="H18" s="38" t="str">
        <f t="shared" si="0"/>
        <v>No</v>
      </c>
      <c r="I18" s="38" t="str">
        <f t="shared" si="1"/>
        <v>-</v>
      </c>
      <c r="J18" s="37">
        <v>0.1147615</v>
      </c>
      <c r="K18" s="38" t="str">
        <f t="shared" si="2"/>
        <v>No</v>
      </c>
      <c r="L18" s="38" t="s">
        <v>110</v>
      </c>
      <c r="M18" s="1"/>
      <c r="N18" s="30"/>
      <c r="O18" s="31"/>
      <c r="P18" s="31"/>
      <c r="Q18" s="31"/>
      <c r="R18" s="31"/>
      <c r="S18" s="33"/>
    </row>
    <row r="19" spans="2:19" x14ac:dyDescent="0.2">
      <c r="B19" s="1"/>
      <c r="C19" s="16" t="s">
        <v>41</v>
      </c>
      <c r="D19" s="16" t="s">
        <v>88</v>
      </c>
      <c r="E19" s="16" t="s">
        <v>108</v>
      </c>
      <c r="F19" s="36">
        <v>44780</v>
      </c>
      <c r="G19" s="37">
        <v>0.20732102799999999</v>
      </c>
      <c r="H19" s="38" t="str">
        <f t="shared" si="0"/>
        <v>No</v>
      </c>
      <c r="I19" s="38" t="str">
        <f t="shared" si="1"/>
        <v>-</v>
      </c>
      <c r="J19" s="37">
        <v>0.1592623</v>
      </c>
      <c r="K19" s="38" t="str">
        <f t="shared" si="2"/>
        <v>No</v>
      </c>
      <c r="L19" s="38" t="s">
        <v>110</v>
      </c>
      <c r="M19" s="1"/>
      <c r="N19" s="30"/>
      <c r="O19" s="31"/>
      <c r="P19" s="31"/>
      <c r="Q19" s="31"/>
      <c r="R19" s="31"/>
      <c r="S19" s="33"/>
    </row>
    <row r="20" spans="2:19" x14ac:dyDescent="0.2">
      <c r="B20" s="1"/>
      <c r="C20" s="13" t="s">
        <v>41</v>
      </c>
      <c r="D20" s="13" t="s">
        <v>89</v>
      </c>
      <c r="E20" s="13" t="s">
        <v>108</v>
      </c>
      <c r="F20" s="39">
        <v>44794</v>
      </c>
      <c r="G20" s="40">
        <v>0.51032775500000005</v>
      </c>
      <c r="H20" s="28" t="str">
        <f t="shared" si="0"/>
        <v>Yes</v>
      </c>
      <c r="I20" s="28">
        <v>79</v>
      </c>
      <c r="J20" s="40">
        <v>0.5403097</v>
      </c>
      <c r="K20" s="28" t="str">
        <f t="shared" si="2"/>
        <v>Yes</v>
      </c>
      <c r="L20" s="28">
        <v>56</v>
      </c>
      <c r="M20" s="1"/>
      <c r="N20" s="30"/>
      <c r="O20" s="31"/>
      <c r="P20" s="31"/>
      <c r="Q20" s="31"/>
      <c r="R20" s="31"/>
      <c r="S20" s="33"/>
    </row>
    <row r="21" spans="2:19" x14ac:dyDescent="0.2">
      <c r="B21" s="1"/>
      <c r="C21" s="16" t="s">
        <v>41</v>
      </c>
      <c r="D21" s="16" t="s">
        <v>104</v>
      </c>
      <c r="E21" s="16" t="s">
        <v>108</v>
      </c>
      <c r="F21" s="36">
        <v>44824</v>
      </c>
      <c r="G21" s="37">
        <v>8.0078230000000007E-3</v>
      </c>
      <c r="H21" s="38" t="str">
        <f t="shared" si="0"/>
        <v>No</v>
      </c>
      <c r="I21" s="38" t="str">
        <f t="shared" si="1"/>
        <v>-</v>
      </c>
      <c r="J21" s="37">
        <v>0.13969029999999999</v>
      </c>
      <c r="K21" s="38" t="str">
        <f t="shared" si="2"/>
        <v>No</v>
      </c>
      <c r="L21" s="38" t="s">
        <v>110</v>
      </c>
      <c r="M21" s="1"/>
      <c r="N21" s="30"/>
      <c r="O21" s="31"/>
      <c r="P21" s="31"/>
      <c r="Q21" s="31"/>
      <c r="R21" s="31"/>
      <c r="S21" s="33"/>
    </row>
    <row r="22" spans="2:19" x14ac:dyDescent="0.2">
      <c r="B22" s="1"/>
      <c r="C22" s="16" t="s">
        <v>41</v>
      </c>
      <c r="D22" s="16" t="s">
        <v>90</v>
      </c>
      <c r="E22" s="16" t="s">
        <v>108</v>
      </c>
      <c r="F22" s="36">
        <v>44819</v>
      </c>
      <c r="G22" s="37">
        <v>0.25712116000000002</v>
      </c>
      <c r="H22" s="38" t="str">
        <f t="shared" si="0"/>
        <v>No</v>
      </c>
      <c r="I22" s="38" t="str">
        <f t="shared" si="1"/>
        <v>-</v>
      </c>
      <c r="J22" s="37">
        <v>0.2136265</v>
      </c>
      <c r="K22" s="38" t="str">
        <f t="shared" si="2"/>
        <v>No</v>
      </c>
      <c r="L22" s="38" t="s">
        <v>110</v>
      </c>
      <c r="M22" s="1"/>
      <c r="N22" s="30"/>
      <c r="O22" s="31"/>
      <c r="P22" s="31"/>
      <c r="Q22" s="31"/>
      <c r="R22" s="31"/>
      <c r="S22" s="33"/>
    </row>
    <row r="23" spans="2:19" x14ac:dyDescent="0.2">
      <c r="B23" s="1"/>
      <c r="C23" s="13" t="s">
        <v>41</v>
      </c>
      <c r="D23" s="13" t="s">
        <v>91</v>
      </c>
      <c r="E23" s="13" t="s">
        <v>108</v>
      </c>
      <c r="F23" s="39">
        <v>44855</v>
      </c>
      <c r="G23" s="40">
        <v>0.94814917499999996</v>
      </c>
      <c r="H23" s="28" t="str">
        <f t="shared" si="0"/>
        <v>Yes</v>
      </c>
      <c r="I23" s="28">
        <v>57</v>
      </c>
      <c r="J23" s="40">
        <v>0.89857659999999995</v>
      </c>
      <c r="K23" s="28" t="str">
        <f t="shared" si="2"/>
        <v>Yes</v>
      </c>
      <c r="L23" s="28">
        <v>56</v>
      </c>
      <c r="M23" s="1"/>
      <c r="N23" s="30"/>
      <c r="O23" s="31"/>
      <c r="P23" s="31"/>
      <c r="Q23" s="31"/>
      <c r="R23" s="31"/>
      <c r="S23" s="33"/>
    </row>
    <row r="24" spans="2:19" x14ac:dyDescent="0.2">
      <c r="B24" s="1"/>
      <c r="C24" s="16" t="s">
        <v>107</v>
      </c>
      <c r="D24" s="16" t="s">
        <v>93</v>
      </c>
      <c r="E24" s="16" t="s">
        <v>109</v>
      </c>
      <c r="F24" s="36">
        <v>44657</v>
      </c>
      <c r="G24" s="37">
        <v>0.22467115100000001</v>
      </c>
      <c r="H24" s="38" t="str">
        <f t="shared" si="0"/>
        <v>No</v>
      </c>
      <c r="I24" s="38" t="str">
        <f t="shared" si="1"/>
        <v>-</v>
      </c>
      <c r="J24" s="37">
        <v>0.26777810000000002</v>
      </c>
      <c r="K24" s="38" t="str">
        <f t="shared" si="2"/>
        <v>No</v>
      </c>
      <c r="L24" s="38" t="s">
        <v>110</v>
      </c>
      <c r="M24" s="1"/>
      <c r="N24" s="30"/>
      <c r="O24" s="31"/>
      <c r="P24" s="31"/>
      <c r="Q24" s="31"/>
      <c r="R24" s="31"/>
      <c r="S24" s="33"/>
    </row>
    <row r="25" spans="2:19" x14ac:dyDescent="0.2">
      <c r="B25" s="1"/>
      <c r="C25" s="16" t="s">
        <v>107</v>
      </c>
      <c r="D25" s="16" t="s">
        <v>94</v>
      </c>
      <c r="E25" s="16" t="s">
        <v>109</v>
      </c>
      <c r="F25" s="36">
        <v>44685</v>
      </c>
      <c r="G25" s="37">
        <v>6.7180472000000005E-2</v>
      </c>
      <c r="H25" s="38" t="str">
        <f t="shared" si="0"/>
        <v>No</v>
      </c>
      <c r="I25" s="38" t="str">
        <f t="shared" si="1"/>
        <v>-</v>
      </c>
      <c r="J25" s="37">
        <v>0.19666249999999999</v>
      </c>
      <c r="K25" s="38" t="str">
        <f t="shared" si="2"/>
        <v>No</v>
      </c>
      <c r="L25" s="38" t="s">
        <v>110</v>
      </c>
      <c r="M25" s="1"/>
      <c r="N25" s="30"/>
      <c r="O25" s="31"/>
      <c r="P25" s="31"/>
      <c r="Q25" s="31"/>
      <c r="R25" s="31"/>
      <c r="S25" s="33"/>
    </row>
    <row r="26" spans="2:19" x14ac:dyDescent="0.2">
      <c r="B26" s="1"/>
      <c r="C26" s="16" t="s">
        <v>107</v>
      </c>
      <c r="D26" s="16" t="s">
        <v>95</v>
      </c>
      <c r="E26" s="16" t="s">
        <v>109</v>
      </c>
      <c r="F26" s="36">
        <v>44676</v>
      </c>
      <c r="G26" s="37">
        <v>0.34944051999999998</v>
      </c>
      <c r="H26" s="38" t="str">
        <f t="shared" si="0"/>
        <v>No</v>
      </c>
      <c r="I26" s="38" t="str">
        <f t="shared" si="1"/>
        <v>-</v>
      </c>
      <c r="J26" s="37">
        <v>0.46422999999999998</v>
      </c>
      <c r="K26" s="38" t="str">
        <f t="shared" si="2"/>
        <v>No</v>
      </c>
      <c r="L26" s="38" t="s">
        <v>110</v>
      </c>
      <c r="M26" s="1"/>
      <c r="N26" s="30"/>
      <c r="O26" s="31"/>
      <c r="P26" s="31"/>
      <c r="Q26" s="31"/>
      <c r="R26" s="31"/>
      <c r="S26" s="33"/>
    </row>
    <row r="27" spans="2:19" x14ac:dyDescent="0.2">
      <c r="B27" s="1"/>
      <c r="C27" s="16" t="s">
        <v>107</v>
      </c>
      <c r="D27" s="16" t="s">
        <v>96</v>
      </c>
      <c r="E27" s="16" t="s">
        <v>109</v>
      </c>
      <c r="F27" s="36">
        <v>44686</v>
      </c>
      <c r="G27" s="37">
        <v>0.34135079000000002</v>
      </c>
      <c r="H27" s="38" t="str">
        <f t="shared" si="0"/>
        <v>No</v>
      </c>
      <c r="I27" s="38" t="str">
        <f t="shared" si="1"/>
        <v>-</v>
      </c>
      <c r="J27" s="37">
        <v>0.266953</v>
      </c>
      <c r="K27" s="38" t="str">
        <f t="shared" si="2"/>
        <v>No</v>
      </c>
      <c r="L27" s="38" t="s">
        <v>110</v>
      </c>
      <c r="M27" s="1"/>
      <c r="N27" s="30"/>
      <c r="O27" s="31"/>
      <c r="P27" s="31"/>
      <c r="Q27" s="31"/>
      <c r="R27" s="31"/>
      <c r="S27" s="33"/>
    </row>
    <row r="28" spans="2:19" x14ac:dyDescent="0.2">
      <c r="B28" s="1"/>
      <c r="C28" s="16" t="s">
        <v>107</v>
      </c>
      <c r="D28" s="16" t="s">
        <v>97</v>
      </c>
      <c r="E28" s="16" t="s">
        <v>109</v>
      </c>
      <c r="F28" s="36">
        <v>44690</v>
      </c>
      <c r="G28" s="37">
        <v>0.10491932700000001</v>
      </c>
      <c r="H28" s="38" t="str">
        <f t="shared" si="0"/>
        <v>No</v>
      </c>
      <c r="I28" s="38" t="str">
        <f t="shared" si="1"/>
        <v>-</v>
      </c>
      <c r="J28" s="37">
        <v>0.29662139999999998</v>
      </c>
      <c r="K28" s="38" t="str">
        <f t="shared" si="2"/>
        <v>No</v>
      </c>
      <c r="L28" s="38" t="s">
        <v>110</v>
      </c>
      <c r="M28" s="1"/>
      <c r="N28" s="30"/>
      <c r="O28" s="31"/>
      <c r="P28" s="31"/>
      <c r="Q28" s="31"/>
      <c r="R28" s="31"/>
      <c r="S28" s="33"/>
    </row>
    <row r="29" spans="2:19" x14ac:dyDescent="0.2">
      <c r="B29" s="1"/>
      <c r="C29" s="16" t="s">
        <v>107</v>
      </c>
      <c r="D29" s="16" t="s">
        <v>98</v>
      </c>
      <c r="E29" s="16" t="s">
        <v>109</v>
      </c>
      <c r="F29" s="36">
        <v>44676</v>
      </c>
      <c r="G29" s="37">
        <v>0.176987862</v>
      </c>
      <c r="H29" s="38" t="str">
        <f t="shared" si="0"/>
        <v>No</v>
      </c>
      <c r="I29" s="38" t="str">
        <f t="shared" si="1"/>
        <v>-</v>
      </c>
      <c r="J29" s="37">
        <v>0.31969930000000002</v>
      </c>
      <c r="K29" s="38" t="str">
        <f t="shared" si="2"/>
        <v>No</v>
      </c>
      <c r="L29" s="38" t="s">
        <v>110</v>
      </c>
      <c r="M29" s="1"/>
      <c r="N29" s="30"/>
      <c r="O29" s="31"/>
      <c r="P29" s="31"/>
      <c r="Q29" s="31"/>
      <c r="R29" s="31"/>
      <c r="S29" s="33"/>
    </row>
    <row r="30" spans="2:19" x14ac:dyDescent="0.2">
      <c r="B30" s="1"/>
      <c r="C30" s="16" t="s">
        <v>107</v>
      </c>
      <c r="D30" s="16" t="s">
        <v>99</v>
      </c>
      <c r="E30" s="16" t="s">
        <v>109</v>
      </c>
      <c r="F30" s="36">
        <v>44699</v>
      </c>
      <c r="G30" s="37">
        <v>3.2002402999999999E-2</v>
      </c>
      <c r="H30" s="38" t="str">
        <f t="shared" si="0"/>
        <v>No</v>
      </c>
      <c r="I30" s="38" t="str">
        <f t="shared" si="1"/>
        <v>-</v>
      </c>
      <c r="J30" s="37">
        <v>0.12270780000000001</v>
      </c>
      <c r="K30" s="38" t="str">
        <f t="shared" si="2"/>
        <v>No</v>
      </c>
      <c r="L30" s="38" t="s">
        <v>110</v>
      </c>
      <c r="M30" s="1"/>
      <c r="N30" s="30"/>
      <c r="O30" s="31"/>
      <c r="P30" s="31"/>
      <c r="Q30" s="31"/>
      <c r="R30" s="31"/>
      <c r="S30" s="33"/>
    </row>
    <row r="31" spans="2:19" x14ac:dyDescent="0.2">
      <c r="B31" s="1"/>
      <c r="C31" s="16" t="s">
        <v>107</v>
      </c>
      <c r="D31" s="16" t="s">
        <v>100</v>
      </c>
      <c r="E31" s="16" t="s">
        <v>109</v>
      </c>
      <c r="F31" s="36">
        <v>44738</v>
      </c>
      <c r="G31" s="37">
        <v>0.109611718</v>
      </c>
      <c r="H31" s="38" t="str">
        <f t="shared" si="0"/>
        <v>No</v>
      </c>
      <c r="I31" s="38" t="str">
        <f t="shared" si="1"/>
        <v>-</v>
      </c>
      <c r="J31" s="37">
        <v>0.25583129999999998</v>
      </c>
      <c r="K31" s="38" t="str">
        <f t="shared" si="2"/>
        <v>No</v>
      </c>
      <c r="L31" s="38" t="s">
        <v>110</v>
      </c>
      <c r="M31" s="1"/>
      <c r="N31" s="30"/>
      <c r="O31" s="31"/>
      <c r="P31" s="31"/>
      <c r="Q31" s="31"/>
      <c r="R31" s="31"/>
      <c r="S31" s="33"/>
    </row>
    <row r="32" spans="2:19" x14ac:dyDescent="0.2">
      <c r="B32" s="1"/>
      <c r="C32" s="16" t="s">
        <v>107</v>
      </c>
      <c r="D32" s="16" t="s">
        <v>86</v>
      </c>
      <c r="E32" s="16" t="s">
        <v>109</v>
      </c>
      <c r="F32" s="36">
        <v>44647</v>
      </c>
      <c r="G32" s="37">
        <v>0.13995816599999999</v>
      </c>
      <c r="H32" s="38" t="str">
        <f t="shared" si="0"/>
        <v>No</v>
      </c>
      <c r="I32" s="38" t="str">
        <f t="shared" si="1"/>
        <v>-</v>
      </c>
      <c r="J32" s="37">
        <v>0.30873539999999999</v>
      </c>
      <c r="K32" s="38" t="str">
        <f t="shared" si="2"/>
        <v>No</v>
      </c>
      <c r="L32" s="38" t="s">
        <v>110</v>
      </c>
      <c r="M32" s="1"/>
      <c r="N32" s="30"/>
      <c r="O32" s="31"/>
      <c r="P32" s="31"/>
      <c r="Q32" s="31"/>
      <c r="R32" s="31"/>
      <c r="S32" s="33"/>
    </row>
    <row r="33" spans="2:19" x14ac:dyDescent="0.2">
      <c r="B33" s="1"/>
      <c r="C33" s="16" t="s">
        <v>107</v>
      </c>
      <c r="D33" s="16" t="s">
        <v>87</v>
      </c>
      <c r="E33" s="16" t="s">
        <v>109</v>
      </c>
      <c r="F33" s="36">
        <v>44812</v>
      </c>
      <c r="G33" s="37">
        <v>8.5466084999999997E-2</v>
      </c>
      <c r="H33" s="38" t="str">
        <f t="shared" si="0"/>
        <v>No</v>
      </c>
      <c r="I33" s="38" t="str">
        <f t="shared" si="1"/>
        <v>-</v>
      </c>
      <c r="J33" s="37">
        <v>0.17623800000000001</v>
      </c>
      <c r="K33" s="38" t="str">
        <f t="shared" si="2"/>
        <v>No</v>
      </c>
      <c r="L33" s="38" t="s">
        <v>110</v>
      </c>
      <c r="M33" s="1"/>
      <c r="N33" s="30"/>
      <c r="O33" s="31"/>
      <c r="P33" s="31"/>
      <c r="Q33" s="31"/>
      <c r="R33" s="31"/>
      <c r="S33" s="33"/>
    </row>
    <row r="34" spans="2:19" x14ac:dyDescent="0.2">
      <c r="B34" s="1"/>
      <c r="C34" s="16" t="s">
        <v>107</v>
      </c>
      <c r="D34" s="16" t="s">
        <v>88</v>
      </c>
      <c r="E34" s="16" t="s">
        <v>109</v>
      </c>
      <c r="F34" s="36">
        <v>44797</v>
      </c>
      <c r="G34" s="37">
        <v>0.18077211500000001</v>
      </c>
      <c r="H34" s="38" t="str">
        <f t="shared" si="0"/>
        <v>No</v>
      </c>
      <c r="I34" s="38" t="str">
        <f t="shared" si="1"/>
        <v>-</v>
      </c>
      <c r="J34" s="37">
        <v>0.2328877</v>
      </c>
      <c r="K34" s="38" t="str">
        <f t="shared" si="2"/>
        <v>No</v>
      </c>
      <c r="L34" s="38" t="s">
        <v>110</v>
      </c>
      <c r="M34" s="1"/>
      <c r="N34" s="30"/>
      <c r="O34" s="31"/>
      <c r="P34" s="31"/>
      <c r="Q34" s="31"/>
      <c r="R34" s="31"/>
      <c r="S34" s="33"/>
    </row>
    <row r="35" spans="2:19" x14ac:dyDescent="0.2">
      <c r="B35" s="1"/>
      <c r="C35" s="13" t="s">
        <v>107</v>
      </c>
      <c r="D35" s="13" t="s">
        <v>89</v>
      </c>
      <c r="E35" s="13" t="s">
        <v>109</v>
      </c>
      <c r="F35" s="39">
        <v>44799</v>
      </c>
      <c r="G35" s="40">
        <v>0.65144244299999998</v>
      </c>
      <c r="H35" s="28" t="str">
        <f t="shared" si="0"/>
        <v>Yes</v>
      </c>
      <c r="I35" s="28">
        <v>65</v>
      </c>
      <c r="J35" s="40">
        <v>0.7446429</v>
      </c>
      <c r="K35" s="28" t="str">
        <f t="shared" si="2"/>
        <v>Yes</v>
      </c>
      <c r="L35" s="28">
        <v>49</v>
      </c>
      <c r="M35" s="1"/>
      <c r="N35" s="30"/>
      <c r="O35" s="31"/>
      <c r="P35" s="31"/>
      <c r="Q35" s="31"/>
      <c r="R35" s="31"/>
      <c r="S35" s="33"/>
    </row>
    <row r="36" spans="2:19" x14ac:dyDescent="0.2">
      <c r="B36" s="1"/>
      <c r="C36" s="16" t="s">
        <v>107</v>
      </c>
      <c r="D36" s="16" t="s">
        <v>104</v>
      </c>
      <c r="E36" s="16" t="s">
        <v>109</v>
      </c>
      <c r="F36" s="36">
        <v>44831</v>
      </c>
      <c r="G36" s="37">
        <v>2.5136164999999999E-2</v>
      </c>
      <c r="H36" s="38" t="str">
        <f t="shared" si="0"/>
        <v>No</v>
      </c>
      <c r="I36" s="38" t="str">
        <f t="shared" si="1"/>
        <v>-</v>
      </c>
      <c r="J36" s="37">
        <v>0.19535230000000001</v>
      </c>
      <c r="K36" s="38" t="str">
        <f t="shared" si="2"/>
        <v>No</v>
      </c>
      <c r="L36" s="38" t="s">
        <v>110</v>
      </c>
      <c r="M36" s="1"/>
      <c r="N36" s="30"/>
      <c r="O36" s="31"/>
      <c r="P36" s="31"/>
      <c r="Q36" s="31"/>
      <c r="R36" s="31"/>
      <c r="S36" s="33"/>
    </row>
    <row r="37" spans="2:19" x14ac:dyDescent="0.2">
      <c r="B37" s="1"/>
      <c r="C37" s="13" t="s">
        <v>107</v>
      </c>
      <c r="D37" s="13" t="s">
        <v>90</v>
      </c>
      <c r="E37" s="13" t="s">
        <v>109</v>
      </c>
      <c r="F37" s="39">
        <v>44838</v>
      </c>
      <c r="G37" s="40">
        <v>0.55444574999999996</v>
      </c>
      <c r="H37" s="28" t="str">
        <f t="shared" si="0"/>
        <v>Yes</v>
      </c>
      <c r="I37" s="28">
        <v>207</v>
      </c>
      <c r="J37" s="40">
        <v>0.487738</v>
      </c>
      <c r="K37" s="28" t="str">
        <f t="shared" si="2"/>
        <v>No</v>
      </c>
      <c r="L37" s="28">
        <v>243</v>
      </c>
      <c r="M37" s="1"/>
      <c r="N37" s="30"/>
      <c r="O37" s="31"/>
      <c r="P37" s="31"/>
      <c r="Q37" s="31"/>
      <c r="R37" s="31"/>
      <c r="S37" s="33"/>
    </row>
    <row r="38" spans="2:19" x14ac:dyDescent="0.2">
      <c r="B38" s="1"/>
      <c r="C38" s="13" t="s">
        <v>107</v>
      </c>
      <c r="D38" s="13" t="s">
        <v>91</v>
      </c>
      <c r="E38" s="13" t="s">
        <v>109</v>
      </c>
      <c r="F38" s="39">
        <v>44889</v>
      </c>
      <c r="G38" s="40">
        <v>0.94381152899999998</v>
      </c>
      <c r="H38" s="28" t="str">
        <f t="shared" si="0"/>
        <v>Yes</v>
      </c>
      <c r="I38" s="28">
        <v>53</v>
      </c>
      <c r="J38" s="40">
        <v>0.56148370000000003</v>
      </c>
      <c r="K38" s="28" t="str">
        <f t="shared" si="2"/>
        <v>Yes</v>
      </c>
      <c r="L38" s="28">
        <v>54</v>
      </c>
      <c r="M38" s="1"/>
      <c r="N38" s="30"/>
      <c r="O38" s="31"/>
      <c r="P38" s="31"/>
      <c r="Q38" s="31"/>
      <c r="R38" s="31"/>
      <c r="S38" s="33"/>
    </row>
    <row r="39" spans="2:19" x14ac:dyDescent="0.2">
      <c r="B39" s="1"/>
      <c r="C39" s="16" t="s">
        <v>14</v>
      </c>
      <c r="D39" s="16" t="s">
        <v>103</v>
      </c>
      <c r="E39" s="16" t="s">
        <v>108</v>
      </c>
      <c r="F39" s="36">
        <v>44564</v>
      </c>
      <c r="G39" s="37">
        <v>5.6492305999999999E-2</v>
      </c>
      <c r="H39" s="38" t="str">
        <f t="shared" si="0"/>
        <v>No</v>
      </c>
      <c r="I39" s="38" t="str">
        <f t="shared" si="1"/>
        <v>-</v>
      </c>
      <c r="J39" s="37">
        <v>0.14422660000000001</v>
      </c>
      <c r="K39" s="38" t="str">
        <f t="shared" si="2"/>
        <v>No</v>
      </c>
      <c r="L39" s="38" t="s">
        <v>110</v>
      </c>
      <c r="M39" s="1"/>
      <c r="N39" s="30"/>
      <c r="O39" s="31"/>
      <c r="P39" s="31"/>
      <c r="Q39" s="31"/>
      <c r="R39" s="31"/>
      <c r="S39" s="33"/>
    </row>
    <row r="40" spans="2:19" x14ac:dyDescent="0.2">
      <c r="B40" s="1"/>
      <c r="C40" s="16" t="s">
        <v>14</v>
      </c>
      <c r="D40" s="16" t="s">
        <v>92</v>
      </c>
      <c r="E40" s="16" t="s">
        <v>108</v>
      </c>
      <c r="F40" s="36">
        <v>44564</v>
      </c>
      <c r="G40" s="37">
        <v>0.20619267999999999</v>
      </c>
      <c r="H40" s="38" t="str">
        <f t="shared" si="0"/>
        <v>No</v>
      </c>
      <c r="I40" s="38" t="str">
        <f t="shared" si="1"/>
        <v>-</v>
      </c>
      <c r="J40" s="37">
        <v>0.1908021</v>
      </c>
      <c r="K40" s="38" t="str">
        <f t="shared" si="2"/>
        <v>No</v>
      </c>
      <c r="L40" s="38" t="s">
        <v>110</v>
      </c>
      <c r="M40" s="1"/>
      <c r="N40" s="30"/>
      <c r="O40" s="31"/>
      <c r="P40" s="31"/>
      <c r="Q40" s="31"/>
      <c r="R40" s="31"/>
      <c r="S40" s="33"/>
    </row>
    <row r="41" spans="2:19" x14ac:dyDescent="0.2">
      <c r="B41" s="1"/>
      <c r="C41" s="16" t="s">
        <v>14</v>
      </c>
      <c r="D41" s="16" t="s">
        <v>93</v>
      </c>
      <c r="E41" s="16" t="s">
        <v>108</v>
      </c>
      <c r="F41" s="36">
        <v>44658</v>
      </c>
      <c r="G41" s="37">
        <v>8.7263594999999999E-2</v>
      </c>
      <c r="H41" s="38" t="str">
        <f t="shared" si="0"/>
        <v>No</v>
      </c>
      <c r="I41" s="38" t="str">
        <f t="shared" si="1"/>
        <v>-</v>
      </c>
      <c r="J41" s="37">
        <v>0.31096819999999997</v>
      </c>
      <c r="K41" s="38" t="str">
        <f t="shared" si="2"/>
        <v>No</v>
      </c>
      <c r="L41" s="38" t="s">
        <v>110</v>
      </c>
      <c r="M41" s="1"/>
      <c r="N41" s="30"/>
      <c r="O41" s="31"/>
      <c r="P41" s="31"/>
      <c r="Q41" s="31"/>
      <c r="R41" s="31"/>
      <c r="S41" s="33"/>
    </row>
    <row r="42" spans="2:19" x14ac:dyDescent="0.2">
      <c r="B42" s="1"/>
      <c r="C42" s="16" t="s">
        <v>14</v>
      </c>
      <c r="D42" s="16" t="s">
        <v>94</v>
      </c>
      <c r="E42" s="16" t="s">
        <v>108</v>
      </c>
      <c r="F42" s="36">
        <v>44636</v>
      </c>
      <c r="G42" s="37">
        <v>7.9947641999999999E-2</v>
      </c>
      <c r="H42" s="38" t="str">
        <f t="shared" si="0"/>
        <v>No</v>
      </c>
      <c r="I42" s="38" t="str">
        <f t="shared" si="1"/>
        <v>-</v>
      </c>
      <c r="J42" s="37">
        <v>0.19063269999999999</v>
      </c>
      <c r="K42" s="38" t="str">
        <f t="shared" si="2"/>
        <v>No</v>
      </c>
      <c r="L42" s="38" t="s">
        <v>110</v>
      </c>
      <c r="M42" s="1"/>
      <c r="N42" s="30"/>
      <c r="O42" s="31"/>
      <c r="P42" s="31"/>
      <c r="Q42" s="31"/>
      <c r="R42" s="31"/>
      <c r="S42" s="33"/>
    </row>
    <row r="43" spans="2:19" x14ac:dyDescent="0.2">
      <c r="B43" s="1"/>
      <c r="C43" s="16" t="s">
        <v>14</v>
      </c>
      <c r="D43" s="16" t="s">
        <v>95</v>
      </c>
      <c r="E43" s="16" t="s">
        <v>108</v>
      </c>
      <c r="F43" s="36">
        <v>44674</v>
      </c>
      <c r="G43" s="37">
        <v>0.35589170999999997</v>
      </c>
      <c r="H43" s="38" t="str">
        <f t="shared" si="0"/>
        <v>No</v>
      </c>
      <c r="I43" s="38" t="str">
        <f t="shared" si="1"/>
        <v>-</v>
      </c>
      <c r="J43" s="37">
        <v>0.3211039</v>
      </c>
      <c r="K43" s="38" t="str">
        <f t="shared" si="2"/>
        <v>No</v>
      </c>
      <c r="L43" s="38" t="s">
        <v>110</v>
      </c>
      <c r="M43" s="1"/>
      <c r="N43" s="30"/>
      <c r="O43" s="31"/>
      <c r="P43" s="31"/>
      <c r="Q43" s="31"/>
      <c r="R43" s="31"/>
      <c r="S43" s="33"/>
    </row>
    <row r="44" spans="2:19" x14ac:dyDescent="0.2">
      <c r="B44" s="1"/>
      <c r="C44" s="16" t="s">
        <v>14</v>
      </c>
      <c r="D44" s="16" t="s">
        <v>96</v>
      </c>
      <c r="E44" s="16" t="s">
        <v>108</v>
      </c>
      <c r="F44" s="36">
        <v>44683</v>
      </c>
      <c r="G44" s="37">
        <v>0.31168607599999998</v>
      </c>
      <c r="H44" s="38" t="str">
        <f t="shared" si="0"/>
        <v>No</v>
      </c>
      <c r="I44" s="38" t="str">
        <f t="shared" si="1"/>
        <v>-</v>
      </c>
      <c r="J44" s="37">
        <v>0.24878220000000001</v>
      </c>
      <c r="K44" s="38" t="str">
        <f t="shared" si="2"/>
        <v>No</v>
      </c>
      <c r="L44" s="38" t="s">
        <v>110</v>
      </c>
      <c r="M44" s="1"/>
      <c r="N44" s="30"/>
      <c r="O44" s="31"/>
      <c r="P44" s="31"/>
      <c r="Q44" s="31"/>
      <c r="R44" s="31"/>
      <c r="S44" s="33"/>
    </row>
    <row r="45" spans="2:19" x14ac:dyDescent="0.2">
      <c r="B45" s="1"/>
      <c r="C45" s="16" t="s">
        <v>14</v>
      </c>
      <c r="D45" s="16" t="s">
        <v>97</v>
      </c>
      <c r="E45" s="16" t="s">
        <v>108</v>
      </c>
      <c r="F45" s="36">
        <v>44686</v>
      </c>
      <c r="G45" s="37">
        <v>0.27627023499999998</v>
      </c>
      <c r="H45" s="38" t="str">
        <f t="shared" si="0"/>
        <v>No</v>
      </c>
      <c r="I45" s="38" t="str">
        <f t="shared" si="1"/>
        <v>-</v>
      </c>
      <c r="J45" s="37">
        <v>0.43173220000000001</v>
      </c>
      <c r="K45" s="38" t="str">
        <f t="shared" si="2"/>
        <v>No</v>
      </c>
      <c r="L45" s="38" t="s">
        <v>110</v>
      </c>
      <c r="M45" s="1"/>
      <c r="N45" s="30"/>
      <c r="O45" s="31"/>
      <c r="P45" s="31"/>
      <c r="Q45" s="31"/>
      <c r="R45" s="31"/>
      <c r="S45" s="33"/>
    </row>
    <row r="46" spans="2:19" x14ac:dyDescent="0.2">
      <c r="B46" s="1"/>
      <c r="C46" s="16" t="s">
        <v>14</v>
      </c>
      <c r="D46" s="16" t="s">
        <v>98</v>
      </c>
      <c r="E46" s="16" t="s">
        <v>108</v>
      </c>
      <c r="F46" s="36">
        <v>44674</v>
      </c>
      <c r="G46" s="37">
        <v>0.15280221699999999</v>
      </c>
      <c r="H46" s="38" t="str">
        <f t="shared" si="0"/>
        <v>No</v>
      </c>
      <c r="I46" s="38" t="str">
        <f t="shared" si="1"/>
        <v>-</v>
      </c>
      <c r="J46" s="37">
        <v>0.21008309999999999</v>
      </c>
      <c r="K46" s="38" t="str">
        <f t="shared" si="2"/>
        <v>No</v>
      </c>
      <c r="L46" s="38" t="s">
        <v>110</v>
      </c>
      <c r="M46" s="1"/>
      <c r="N46" s="30"/>
      <c r="O46" s="31"/>
      <c r="P46" s="31"/>
      <c r="Q46" s="31"/>
      <c r="R46" s="31"/>
      <c r="S46" s="33"/>
    </row>
    <row r="47" spans="2:19" x14ac:dyDescent="0.2">
      <c r="B47" s="1"/>
      <c r="C47" s="16" t="s">
        <v>14</v>
      </c>
      <c r="D47" s="16" t="s">
        <v>99</v>
      </c>
      <c r="E47" s="16" t="s">
        <v>108</v>
      </c>
      <c r="F47" s="36">
        <v>44705</v>
      </c>
      <c r="G47" s="37">
        <v>3.7118494000000002E-2</v>
      </c>
      <c r="H47" s="38" t="str">
        <f t="shared" si="0"/>
        <v>No</v>
      </c>
      <c r="I47" s="38" t="str">
        <f t="shared" si="1"/>
        <v>-</v>
      </c>
      <c r="J47" s="37">
        <v>0.1149448</v>
      </c>
      <c r="K47" s="38" t="str">
        <f t="shared" si="2"/>
        <v>No</v>
      </c>
      <c r="L47" s="38" t="s">
        <v>110</v>
      </c>
      <c r="M47" s="1"/>
      <c r="N47" s="30"/>
      <c r="O47" s="31"/>
      <c r="P47" s="31"/>
      <c r="Q47" s="31"/>
      <c r="R47" s="31"/>
      <c r="S47" s="33"/>
    </row>
    <row r="48" spans="2:19" x14ac:dyDescent="0.2">
      <c r="B48" s="1"/>
      <c r="C48" s="16" t="s">
        <v>14</v>
      </c>
      <c r="D48" s="16" t="s">
        <v>100</v>
      </c>
      <c r="E48" s="16" t="s">
        <v>108</v>
      </c>
      <c r="F48" s="36">
        <v>44725</v>
      </c>
      <c r="G48" s="37">
        <v>0.28656347700000001</v>
      </c>
      <c r="H48" s="38" t="str">
        <f t="shared" si="0"/>
        <v>No</v>
      </c>
      <c r="I48" s="38" t="str">
        <f t="shared" si="1"/>
        <v>-</v>
      </c>
      <c r="J48" s="37">
        <v>0.16261110000000001</v>
      </c>
      <c r="K48" s="38" t="str">
        <f t="shared" si="2"/>
        <v>No</v>
      </c>
      <c r="L48" s="38" t="s">
        <v>110</v>
      </c>
      <c r="M48" s="1"/>
      <c r="N48" s="30"/>
      <c r="O48" s="31"/>
      <c r="P48" s="31"/>
      <c r="Q48" s="31"/>
      <c r="R48" s="31"/>
      <c r="S48" s="33"/>
    </row>
    <row r="49" spans="2:19" x14ac:dyDescent="0.2">
      <c r="B49" s="1"/>
      <c r="C49" s="16" t="s">
        <v>14</v>
      </c>
      <c r="D49" s="16" t="s">
        <v>86</v>
      </c>
      <c r="E49" s="16" t="s">
        <v>108</v>
      </c>
      <c r="F49" s="36">
        <v>44658</v>
      </c>
      <c r="G49" s="37">
        <v>6.5763403999999998E-2</v>
      </c>
      <c r="H49" s="38" t="str">
        <f t="shared" si="0"/>
        <v>No</v>
      </c>
      <c r="I49" s="38" t="str">
        <f t="shared" si="1"/>
        <v>-</v>
      </c>
      <c r="J49" s="37">
        <v>0.23336200000000001</v>
      </c>
      <c r="K49" s="38" t="str">
        <f t="shared" si="2"/>
        <v>No</v>
      </c>
      <c r="L49" s="38" t="s">
        <v>110</v>
      </c>
      <c r="M49" s="1"/>
      <c r="N49" s="30"/>
      <c r="O49" s="31"/>
      <c r="P49" s="31"/>
      <c r="Q49" s="31"/>
      <c r="R49" s="31"/>
      <c r="S49" s="33"/>
    </row>
    <row r="50" spans="2:19" x14ac:dyDescent="0.2">
      <c r="B50" s="1"/>
      <c r="C50" s="16" t="s">
        <v>14</v>
      </c>
      <c r="D50" s="16" t="s">
        <v>87</v>
      </c>
      <c r="E50" s="16" t="s">
        <v>108</v>
      </c>
      <c r="F50" s="36">
        <v>44810</v>
      </c>
      <c r="G50" s="37">
        <v>8.8955405000000001E-2</v>
      </c>
      <c r="H50" s="38" t="str">
        <f t="shared" si="0"/>
        <v>No</v>
      </c>
      <c r="I50" s="38" t="str">
        <f t="shared" si="1"/>
        <v>-</v>
      </c>
      <c r="J50" s="37">
        <v>0.15607650000000001</v>
      </c>
      <c r="K50" s="38" t="str">
        <f t="shared" si="2"/>
        <v>No</v>
      </c>
      <c r="L50" s="38" t="s">
        <v>110</v>
      </c>
      <c r="M50" s="1"/>
      <c r="N50" s="30"/>
      <c r="O50" s="31"/>
      <c r="P50" s="31"/>
      <c r="Q50" s="31"/>
      <c r="R50" s="31"/>
      <c r="S50" s="33"/>
    </row>
    <row r="51" spans="2:19" x14ac:dyDescent="0.2">
      <c r="B51" s="1"/>
      <c r="C51" s="16" t="s">
        <v>14</v>
      </c>
      <c r="D51" s="16" t="s">
        <v>88</v>
      </c>
      <c r="E51" s="16" t="s">
        <v>108</v>
      </c>
      <c r="F51" s="36">
        <v>44809</v>
      </c>
      <c r="G51" s="37">
        <v>0.115347828</v>
      </c>
      <c r="H51" s="38" t="str">
        <f t="shared" si="0"/>
        <v>No</v>
      </c>
      <c r="I51" s="38" t="str">
        <f t="shared" si="1"/>
        <v>-</v>
      </c>
      <c r="J51" s="37">
        <v>0.19301189999999999</v>
      </c>
      <c r="K51" s="38" t="str">
        <f t="shared" si="2"/>
        <v>No</v>
      </c>
      <c r="L51" s="38" t="s">
        <v>110</v>
      </c>
      <c r="M51" s="1"/>
      <c r="N51" s="30"/>
      <c r="O51" s="31"/>
      <c r="P51" s="31"/>
      <c r="Q51" s="31"/>
      <c r="R51" s="31"/>
      <c r="S51" s="33"/>
    </row>
    <row r="52" spans="2:19" x14ac:dyDescent="0.2">
      <c r="B52" s="1"/>
      <c r="C52" s="16" t="s">
        <v>14</v>
      </c>
      <c r="D52" s="16" t="s">
        <v>89</v>
      </c>
      <c r="E52" s="16" t="s">
        <v>108</v>
      </c>
      <c r="F52" s="36">
        <v>44806</v>
      </c>
      <c r="G52" s="37">
        <v>0.44581936599999999</v>
      </c>
      <c r="H52" s="38" t="str">
        <f t="shared" si="0"/>
        <v>No</v>
      </c>
      <c r="I52" s="38" t="str">
        <f t="shared" si="1"/>
        <v>-</v>
      </c>
      <c r="J52" s="37">
        <v>0.24810589999999999</v>
      </c>
      <c r="K52" s="38" t="str">
        <f t="shared" si="2"/>
        <v>No</v>
      </c>
      <c r="L52" s="38" t="s">
        <v>110</v>
      </c>
      <c r="M52" s="1"/>
      <c r="N52" s="30"/>
      <c r="O52" s="31"/>
      <c r="P52" s="31"/>
      <c r="Q52" s="31"/>
      <c r="R52" s="31"/>
      <c r="S52" s="33"/>
    </row>
    <row r="53" spans="2:19" x14ac:dyDescent="0.2">
      <c r="B53" s="1"/>
      <c r="C53" s="16" t="s">
        <v>14</v>
      </c>
      <c r="D53" s="16" t="s">
        <v>90</v>
      </c>
      <c r="E53" s="16" t="s">
        <v>108</v>
      </c>
      <c r="F53" s="36">
        <v>44837</v>
      </c>
      <c r="G53" s="37">
        <v>0.36507936499999999</v>
      </c>
      <c r="H53" s="38" t="str">
        <f t="shared" si="0"/>
        <v>No</v>
      </c>
      <c r="I53" s="38" t="str">
        <f t="shared" si="1"/>
        <v>-</v>
      </c>
      <c r="J53" s="37">
        <v>0.1743886</v>
      </c>
      <c r="K53" s="38" t="str">
        <f t="shared" si="2"/>
        <v>No</v>
      </c>
      <c r="L53" s="38" t="s">
        <v>110</v>
      </c>
      <c r="M53" s="1"/>
      <c r="N53" s="30"/>
      <c r="O53" s="31"/>
      <c r="P53" s="31"/>
      <c r="Q53" s="31"/>
      <c r="R53" s="31"/>
      <c r="S53" s="33"/>
    </row>
    <row r="54" spans="2:19" x14ac:dyDescent="0.2">
      <c r="B54" s="1"/>
      <c r="C54" s="13" t="s">
        <v>14</v>
      </c>
      <c r="D54" s="13" t="s">
        <v>91</v>
      </c>
      <c r="E54" s="13" t="s">
        <v>108</v>
      </c>
      <c r="F54" s="39">
        <v>44897</v>
      </c>
      <c r="G54" s="40">
        <v>0.91160310300000003</v>
      </c>
      <c r="H54" s="28" t="str">
        <f t="shared" si="0"/>
        <v>Yes</v>
      </c>
      <c r="I54" s="28">
        <v>52</v>
      </c>
      <c r="J54" s="40">
        <v>0.6841296</v>
      </c>
      <c r="K54" s="28" t="str">
        <f t="shared" si="2"/>
        <v>Yes</v>
      </c>
      <c r="L54" s="28">
        <v>49</v>
      </c>
      <c r="M54" s="1"/>
      <c r="N54" s="30"/>
      <c r="O54" s="31"/>
      <c r="P54" s="31"/>
      <c r="Q54" s="31"/>
      <c r="R54" s="31"/>
      <c r="S54" s="33"/>
    </row>
    <row r="55" spans="2:19" x14ac:dyDescent="0.2">
      <c r="B55" s="1"/>
      <c r="C55" s="16" t="s">
        <v>21</v>
      </c>
      <c r="D55" s="16" t="s">
        <v>92</v>
      </c>
      <c r="E55" s="16" t="s">
        <v>109</v>
      </c>
      <c r="F55" s="36">
        <v>44616</v>
      </c>
      <c r="G55" s="37">
        <v>8.8785370000000006E-3</v>
      </c>
      <c r="H55" s="38" t="str">
        <f t="shared" si="0"/>
        <v>No</v>
      </c>
      <c r="I55" s="38" t="str">
        <f t="shared" si="1"/>
        <v>-</v>
      </c>
      <c r="J55" s="37">
        <v>0.17947769999999999</v>
      </c>
      <c r="K55" s="38" t="str">
        <f t="shared" si="2"/>
        <v>No</v>
      </c>
      <c r="L55" s="38" t="s">
        <v>110</v>
      </c>
      <c r="M55" s="1"/>
      <c r="N55" s="30"/>
      <c r="O55" s="31"/>
      <c r="P55" s="31"/>
      <c r="Q55" s="31"/>
      <c r="R55" s="31"/>
      <c r="S55" s="33"/>
    </row>
    <row r="56" spans="2:19" x14ac:dyDescent="0.2">
      <c r="B56" s="1"/>
      <c r="C56" s="16" t="s">
        <v>21</v>
      </c>
      <c r="D56" s="16" t="s">
        <v>93</v>
      </c>
      <c r="E56" s="16" t="s">
        <v>109</v>
      </c>
      <c r="F56" s="36">
        <v>44684</v>
      </c>
      <c r="G56" s="37">
        <v>2.2977154999999999E-2</v>
      </c>
      <c r="H56" s="38" t="str">
        <f t="shared" si="0"/>
        <v>No</v>
      </c>
      <c r="I56" s="38" t="str">
        <f t="shared" si="1"/>
        <v>-</v>
      </c>
      <c r="J56" s="37">
        <v>0.26505010000000001</v>
      </c>
      <c r="K56" s="38" t="str">
        <f t="shared" si="2"/>
        <v>No</v>
      </c>
      <c r="L56" s="38" t="s">
        <v>110</v>
      </c>
      <c r="M56" s="1"/>
      <c r="N56" s="30"/>
      <c r="O56" s="31"/>
      <c r="P56" s="31"/>
      <c r="Q56" s="31"/>
      <c r="R56" s="31"/>
      <c r="S56" s="33"/>
    </row>
    <row r="57" spans="2:19" x14ac:dyDescent="0.2">
      <c r="B57" s="1"/>
      <c r="C57" s="16" t="s">
        <v>21</v>
      </c>
      <c r="D57" s="16" t="s">
        <v>94</v>
      </c>
      <c r="E57" s="16" t="s">
        <v>109</v>
      </c>
      <c r="F57" s="36">
        <v>44695</v>
      </c>
      <c r="G57" s="37">
        <v>2.9887881000000002E-2</v>
      </c>
      <c r="H57" s="38" t="str">
        <f t="shared" si="0"/>
        <v>No</v>
      </c>
      <c r="I57" s="38" t="str">
        <f t="shared" si="1"/>
        <v>-</v>
      </c>
      <c r="J57" s="37">
        <v>0.2114634</v>
      </c>
      <c r="K57" s="38" t="str">
        <f t="shared" si="2"/>
        <v>No</v>
      </c>
      <c r="L57" s="38" t="s">
        <v>110</v>
      </c>
      <c r="M57" s="1"/>
      <c r="N57" s="30"/>
      <c r="O57" s="31"/>
      <c r="P57" s="31"/>
      <c r="Q57" s="31"/>
      <c r="R57" s="31"/>
      <c r="S57" s="33"/>
    </row>
    <row r="58" spans="2:19" x14ac:dyDescent="0.2">
      <c r="B58" s="1"/>
      <c r="C58" s="16" t="s">
        <v>21</v>
      </c>
      <c r="D58" s="16" t="s">
        <v>95</v>
      </c>
      <c r="E58" s="16" t="s">
        <v>109</v>
      </c>
      <c r="F58" s="36">
        <v>44696</v>
      </c>
      <c r="G58" s="37">
        <v>0.117109332</v>
      </c>
      <c r="H58" s="38" t="str">
        <f t="shared" si="0"/>
        <v>No</v>
      </c>
      <c r="I58" s="38" t="str">
        <f t="shared" si="1"/>
        <v>-</v>
      </c>
      <c r="J58" s="37">
        <v>0.2492693</v>
      </c>
      <c r="K58" s="38" t="str">
        <f t="shared" si="2"/>
        <v>No</v>
      </c>
      <c r="L58" s="38" t="s">
        <v>110</v>
      </c>
      <c r="M58" s="1"/>
      <c r="N58" s="30"/>
      <c r="O58" s="31"/>
      <c r="P58" s="31"/>
      <c r="Q58" s="31"/>
      <c r="R58" s="31"/>
      <c r="S58" s="33"/>
    </row>
    <row r="59" spans="2:19" x14ac:dyDescent="0.2">
      <c r="B59" s="1"/>
      <c r="C59" s="16" t="s">
        <v>21</v>
      </c>
      <c r="D59" s="16" t="s">
        <v>96</v>
      </c>
      <c r="E59" s="16" t="s">
        <v>109</v>
      </c>
      <c r="F59" s="36">
        <v>44697</v>
      </c>
      <c r="G59" s="37">
        <v>0.39328754100000002</v>
      </c>
      <c r="H59" s="38" t="str">
        <f t="shared" si="0"/>
        <v>No</v>
      </c>
      <c r="I59" s="38" t="str">
        <f t="shared" si="1"/>
        <v>-</v>
      </c>
      <c r="J59" s="37">
        <v>0.36956869999999997</v>
      </c>
      <c r="K59" s="38" t="str">
        <f t="shared" si="2"/>
        <v>No</v>
      </c>
      <c r="L59" s="38" t="s">
        <v>110</v>
      </c>
      <c r="M59" s="1"/>
      <c r="N59" s="30"/>
      <c r="O59" s="31"/>
      <c r="P59" s="31"/>
      <c r="Q59" s="31"/>
      <c r="R59" s="31"/>
      <c r="S59" s="33"/>
    </row>
    <row r="60" spans="2:19" x14ac:dyDescent="0.2">
      <c r="B60" s="1"/>
      <c r="C60" s="16" t="s">
        <v>21</v>
      </c>
      <c r="D60" s="16" t="s">
        <v>97</v>
      </c>
      <c r="E60" s="16" t="s">
        <v>109</v>
      </c>
      <c r="F60" s="36">
        <v>44710</v>
      </c>
      <c r="G60" s="37">
        <v>6.3836118999999997E-2</v>
      </c>
      <c r="H60" s="38" t="str">
        <f t="shared" si="0"/>
        <v>No</v>
      </c>
      <c r="I60" s="38" t="str">
        <f t="shared" si="1"/>
        <v>-</v>
      </c>
      <c r="J60" s="37">
        <v>0.1829066</v>
      </c>
      <c r="K60" s="38" t="str">
        <f t="shared" si="2"/>
        <v>No</v>
      </c>
      <c r="L60" s="38" t="s">
        <v>110</v>
      </c>
      <c r="M60" s="1"/>
      <c r="N60" s="30"/>
      <c r="O60" s="31"/>
      <c r="P60" s="31"/>
      <c r="Q60" s="31"/>
      <c r="R60" s="31"/>
      <c r="S60" s="33"/>
    </row>
    <row r="61" spans="2:19" x14ac:dyDescent="0.2">
      <c r="B61" s="1"/>
      <c r="C61" s="16" t="s">
        <v>21</v>
      </c>
      <c r="D61" s="16" t="s">
        <v>98</v>
      </c>
      <c r="E61" s="16" t="s">
        <v>109</v>
      </c>
      <c r="F61" s="36">
        <v>44694</v>
      </c>
      <c r="G61" s="37">
        <v>0.26718735500000002</v>
      </c>
      <c r="H61" s="38" t="str">
        <f t="shared" si="0"/>
        <v>No</v>
      </c>
      <c r="I61" s="38" t="str">
        <f t="shared" si="1"/>
        <v>-</v>
      </c>
      <c r="J61" s="37">
        <v>0.28183019999999998</v>
      </c>
      <c r="K61" s="38" t="str">
        <f t="shared" si="2"/>
        <v>No</v>
      </c>
      <c r="L61" s="38" t="s">
        <v>110</v>
      </c>
      <c r="M61" s="1"/>
      <c r="N61" s="30"/>
      <c r="O61" s="31"/>
      <c r="P61" s="31"/>
      <c r="Q61" s="31"/>
      <c r="R61" s="31"/>
      <c r="S61" s="33"/>
    </row>
    <row r="62" spans="2:19" x14ac:dyDescent="0.2">
      <c r="B62" s="1"/>
      <c r="C62" s="16" t="s">
        <v>21</v>
      </c>
      <c r="D62" s="16" t="s">
        <v>99</v>
      </c>
      <c r="E62" s="16" t="s">
        <v>109</v>
      </c>
      <c r="F62" s="36">
        <v>44723</v>
      </c>
      <c r="G62" s="37">
        <v>0.36574870399999998</v>
      </c>
      <c r="H62" s="38" t="str">
        <f t="shared" si="0"/>
        <v>No</v>
      </c>
      <c r="I62" s="38" t="str">
        <f t="shared" si="1"/>
        <v>-</v>
      </c>
      <c r="J62" s="37">
        <v>0.32239010000000001</v>
      </c>
      <c r="K62" s="38" t="str">
        <f t="shared" si="2"/>
        <v>No</v>
      </c>
      <c r="L62" s="38" t="s">
        <v>110</v>
      </c>
      <c r="M62" s="1"/>
      <c r="N62" s="30"/>
      <c r="O62" s="31"/>
      <c r="P62" s="31"/>
      <c r="Q62" s="31"/>
      <c r="R62" s="31"/>
      <c r="S62" s="33"/>
    </row>
    <row r="63" spans="2:19" x14ac:dyDescent="0.2">
      <c r="B63" s="1"/>
      <c r="C63" s="16" t="s">
        <v>21</v>
      </c>
      <c r="D63" s="16" t="s">
        <v>100</v>
      </c>
      <c r="E63" s="16" t="s">
        <v>109</v>
      </c>
      <c r="F63" s="36">
        <v>44750</v>
      </c>
      <c r="G63" s="37">
        <v>0.242005939</v>
      </c>
      <c r="H63" s="38" t="str">
        <f t="shared" si="0"/>
        <v>No</v>
      </c>
      <c r="I63" s="38" t="str">
        <f t="shared" si="1"/>
        <v>-</v>
      </c>
      <c r="J63" s="37">
        <v>0.2003798</v>
      </c>
      <c r="K63" s="38" t="str">
        <f t="shared" si="2"/>
        <v>No</v>
      </c>
      <c r="L63" s="38" t="s">
        <v>110</v>
      </c>
      <c r="M63" s="1"/>
      <c r="N63" s="30"/>
      <c r="O63" s="31"/>
      <c r="P63" s="31"/>
      <c r="Q63" s="31"/>
      <c r="R63" s="31"/>
      <c r="S63" s="33"/>
    </row>
    <row r="64" spans="2:19" x14ac:dyDescent="0.2">
      <c r="B64" s="1"/>
      <c r="C64" s="16" t="s">
        <v>21</v>
      </c>
      <c r="D64" s="16" t="s">
        <v>86</v>
      </c>
      <c r="E64" s="16" t="s">
        <v>109</v>
      </c>
      <c r="F64" s="36">
        <v>44660</v>
      </c>
      <c r="G64" s="37">
        <v>5.4932425999999999E-2</v>
      </c>
      <c r="H64" s="38" t="str">
        <f t="shared" si="0"/>
        <v>No</v>
      </c>
      <c r="I64" s="38" t="str">
        <f t="shared" si="1"/>
        <v>-</v>
      </c>
      <c r="J64" s="37">
        <v>0.22346820000000001</v>
      </c>
      <c r="K64" s="38" t="str">
        <f t="shared" si="2"/>
        <v>No</v>
      </c>
      <c r="L64" s="38" t="s">
        <v>110</v>
      </c>
      <c r="M64" s="1"/>
      <c r="N64" s="30"/>
      <c r="O64" s="31"/>
      <c r="P64" s="31"/>
      <c r="Q64" s="31"/>
      <c r="R64" s="31"/>
      <c r="S64" s="33"/>
    </row>
    <row r="65" spans="2:19" x14ac:dyDescent="0.2">
      <c r="B65" s="1"/>
      <c r="C65" s="16" t="s">
        <v>21</v>
      </c>
      <c r="D65" s="16" t="s">
        <v>87</v>
      </c>
      <c r="E65" s="16" t="s">
        <v>109</v>
      </c>
      <c r="F65" s="36">
        <v>44820</v>
      </c>
      <c r="G65" s="37">
        <v>0.17137650600000001</v>
      </c>
      <c r="H65" s="38" t="str">
        <f t="shared" si="0"/>
        <v>No</v>
      </c>
      <c r="I65" s="38" t="str">
        <f t="shared" si="1"/>
        <v>-</v>
      </c>
      <c r="J65" s="37">
        <v>0.21503720000000001</v>
      </c>
      <c r="K65" s="38" t="str">
        <f t="shared" si="2"/>
        <v>No</v>
      </c>
      <c r="L65" s="38" t="s">
        <v>110</v>
      </c>
      <c r="M65" s="1"/>
      <c r="N65" s="30"/>
      <c r="O65" s="31"/>
      <c r="P65" s="31"/>
      <c r="Q65" s="31"/>
      <c r="R65" s="31"/>
      <c r="S65" s="33"/>
    </row>
    <row r="66" spans="2:19" x14ac:dyDescent="0.2">
      <c r="B66" s="1"/>
      <c r="C66" s="16" t="s">
        <v>21</v>
      </c>
      <c r="D66" s="16" t="s">
        <v>88</v>
      </c>
      <c r="E66" s="16" t="s">
        <v>109</v>
      </c>
      <c r="F66" s="36">
        <v>44825</v>
      </c>
      <c r="G66" s="37">
        <v>6.1000131999999999E-2</v>
      </c>
      <c r="H66" s="38" t="str">
        <f t="shared" si="0"/>
        <v>No</v>
      </c>
      <c r="I66" s="38" t="str">
        <f t="shared" si="1"/>
        <v>-</v>
      </c>
      <c r="J66" s="37">
        <v>0.23854059999999999</v>
      </c>
      <c r="K66" s="38" t="str">
        <f t="shared" si="2"/>
        <v>No</v>
      </c>
      <c r="L66" s="38" t="s">
        <v>110</v>
      </c>
      <c r="M66" s="1"/>
      <c r="N66" s="30"/>
      <c r="O66" s="31"/>
      <c r="P66" s="31"/>
      <c r="Q66" s="31"/>
      <c r="R66" s="31"/>
      <c r="S66" s="33"/>
    </row>
    <row r="67" spans="2:19" x14ac:dyDescent="0.2">
      <c r="B67" s="1"/>
      <c r="C67" s="16" t="s">
        <v>21</v>
      </c>
      <c r="D67" s="16" t="s">
        <v>89</v>
      </c>
      <c r="E67" s="16" t="s">
        <v>109</v>
      </c>
      <c r="F67" s="36">
        <v>44819</v>
      </c>
      <c r="G67" s="37">
        <v>0.19156996100000001</v>
      </c>
      <c r="H67" s="38" t="str">
        <f t="shared" si="0"/>
        <v>No</v>
      </c>
      <c r="I67" s="38" t="str">
        <f t="shared" si="1"/>
        <v>-</v>
      </c>
      <c r="J67" s="37">
        <v>0.1824479</v>
      </c>
      <c r="K67" s="38" t="str">
        <f t="shared" si="2"/>
        <v>No</v>
      </c>
      <c r="L67" s="38" t="s">
        <v>110</v>
      </c>
      <c r="M67" s="1"/>
      <c r="N67" s="30"/>
      <c r="O67" s="31"/>
      <c r="P67" s="31"/>
      <c r="Q67" s="31"/>
      <c r="R67" s="31"/>
      <c r="S67" s="33"/>
    </row>
    <row r="68" spans="2:19" x14ac:dyDescent="0.2">
      <c r="B68" s="1"/>
      <c r="C68" s="16" t="s">
        <v>21</v>
      </c>
      <c r="D68" s="16" t="s">
        <v>101</v>
      </c>
      <c r="E68" s="16" t="s">
        <v>109</v>
      </c>
      <c r="F68" s="36">
        <v>44565</v>
      </c>
      <c r="G68" s="37">
        <v>7.3025879999999996E-3</v>
      </c>
      <c r="H68" s="38" t="str">
        <f t="shared" si="0"/>
        <v>No</v>
      </c>
      <c r="I68" s="38" t="str">
        <f t="shared" si="1"/>
        <v>-</v>
      </c>
      <c r="J68" s="37">
        <v>0.19225400000000001</v>
      </c>
      <c r="K68" s="38" t="str">
        <f t="shared" si="2"/>
        <v>No</v>
      </c>
      <c r="L68" s="38" t="s">
        <v>110</v>
      </c>
      <c r="M68" s="1"/>
      <c r="N68" s="30"/>
      <c r="O68" s="31"/>
      <c r="P68" s="31"/>
      <c r="Q68" s="31"/>
      <c r="R68" s="31"/>
      <c r="S68" s="33"/>
    </row>
    <row r="69" spans="2:19" x14ac:dyDescent="0.2">
      <c r="B69" s="1"/>
      <c r="C69" s="16" t="s">
        <v>21</v>
      </c>
      <c r="D69" s="16" t="s">
        <v>90</v>
      </c>
      <c r="E69" s="16" t="s">
        <v>109</v>
      </c>
      <c r="F69" s="36">
        <v>44836</v>
      </c>
      <c r="G69" s="37">
        <v>0.495572911</v>
      </c>
      <c r="H69" s="38" t="str">
        <f t="shared" si="0"/>
        <v>No</v>
      </c>
      <c r="I69" s="38" t="str">
        <f t="shared" si="1"/>
        <v>-</v>
      </c>
      <c r="J69" s="37">
        <v>0.1812793</v>
      </c>
      <c r="K69" s="38" t="str">
        <f t="shared" si="2"/>
        <v>No</v>
      </c>
      <c r="L69" s="38" t="s">
        <v>110</v>
      </c>
      <c r="M69" s="1"/>
      <c r="N69" s="30"/>
      <c r="O69" s="31"/>
      <c r="P69" s="31"/>
      <c r="Q69" s="31"/>
      <c r="R69" s="31"/>
      <c r="S69" s="33"/>
    </row>
    <row r="70" spans="2:19" x14ac:dyDescent="0.2">
      <c r="B70" s="1"/>
      <c r="C70" s="13" t="s">
        <v>21</v>
      </c>
      <c r="D70" s="13" t="s">
        <v>91</v>
      </c>
      <c r="E70" s="13" t="s">
        <v>109</v>
      </c>
      <c r="F70" s="39">
        <v>44896</v>
      </c>
      <c r="G70" s="40">
        <v>0.50504829799999995</v>
      </c>
      <c r="H70" s="28" t="str">
        <f t="shared" si="0"/>
        <v>Yes</v>
      </c>
      <c r="I70" s="28">
        <v>60</v>
      </c>
      <c r="J70" s="40">
        <v>0.72390120000000002</v>
      </c>
      <c r="K70" s="28" t="str">
        <f t="shared" si="2"/>
        <v>Yes</v>
      </c>
      <c r="L70" s="28">
        <v>54</v>
      </c>
      <c r="M70" s="1"/>
      <c r="N70" s="30"/>
      <c r="O70" s="31"/>
      <c r="P70" s="31"/>
      <c r="Q70" s="31"/>
      <c r="R70" s="31"/>
      <c r="S70" s="33"/>
    </row>
    <row r="71" spans="2:19" x14ac:dyDescent="0.2">
      <c r="B71" s="1"/>
      <c r="C71" s="16" t="s">
        <v>11</v>
      </c>
      <c r="D71" s="16" t="s">
        <v>102</v>
      </c>
      <c r="E71" s="16" t="s">
        <v>78</v>
      </c>
      <c r="F71" s="36">
        <v>44574</v>
      </c>
      <c r="G71" s="37">
        <v>7.3272950000000002E-3</v>
      </c>
      <c r="H71" s="38" t="str">
        <f t="shared" si="0"/>
        <v>No</v>
      </c>
      <c r="I71" s="38" t="str">
        <f t="shared" si="1"/>
        <v>-</v>
      </c>
      <c r="J71" s="37">
        <v>0.16865840000000001</v>
      </c>
      <c r="K71" s="38" t="str">
        <f t="shared" si="2"/>
        <v>No</v>
      </c>
      <c r="L71" s="38" t="s">
        <v>110</v>
      </c>
      <c r="M71" s="1"/>
      <c r="N71" s="30"/>
      <c r="O71" s="31"/>
      <c r="P71" s="31"/>
      <c r="Q71" s="31"/>
      <c r="R71" s="31"/>
      <c r="S71" s="33"/>
    </row>
    <row r="72" spans="2:19" x14ac:dyDescent="0.2">
      <c r="B72" s="1"/>
      <c r="C72" s="16" t="s">
        <v>11</v>
      </c>
      <c r="D72" s="16" t="s">
        <v>103</v>
      </c>
      <c r="E72" s="16" t="s">
        <v>78</v>
      </c>
      <c r="F72" s="36">
        <v>44572</v>
      </c>
      <c r="G72" s="37">
        <v>4.7520486000000001E-2</v>
      </c>
      <c r="H72" s="38" t="str">
        <f t="shared" si="0"/>
        <v>No</v>
      </c>
      <c r="I72" s="38" t="str">
        <f t="shared" si="1"/>
        <v>-</v>
      </c>
      <c r="J72" s="37">
        <v>0.20115169999999999</v>
      </c>
      <c r="K72" s="38" t="str">
        <f t="shared" si="2"/>
        <v>No</v>
      </c>
      <c r="L72" s="38" t="s">
        <v>110</v>
      </c>
      <c r="M72" s="1"/>
      <c r="N72" s="30"/>
      <c r="O72" s="31"/>
      <c r="P72" s="31"/>
      <c r="Q72" s="31"/>
      <c r="R72" s="31"/>
      <c r="S72" s="33"/>
    </row>
    <row r="73" spans="2:19" x14ac:dyDescent="0.2">
      <c r="B73" s="1"/>
      <c r="C73" s="16" t="s">
        <v>11</v>
      </c>
      <c r="D73" s="16" t="s">
        <v>93</v>
      </c>
      <c r="E73" s="16" t="s">
        <v>78</v>
      </c>
      <c r="F73" s="36">
        <v>44669</v>
      </c>
      <c r="G73" s="37">
        <v>8.4407064000000004E-2</v>
      </c>
      <c r="H73" s="38" t="str">
        <f t="shared" ref="H73:H136" si="3">IF(G73&gt;0.5, "Yes", "No")</f>
        <v>No</v>
      </c>
      <c r="I73" s="38" t="str">
        <f t="shared" ref="I73:I136" si="4">IF(H73="No", "-", "")</f>
        <v>-</v>
      </c>
      <c r="J73" s="37">
        <v>0.34457890000000002</v>
      </c>
      <c r="K73" s="38" t="str">
        <f t="shared" ref="K73:K136" si="5">IF(J73&gt;0.5, "Yes", "No")</f>
        <v>No</v>
      </c>
      <c r="L73" s="38" t="s">
        <v>110</v>
      </c>
      <c r="M73" s="1"/>
      <c r="N73" s="30"/>
      <c r="O73" s="31"/>
      <c r="P73" s="31"/>
      <c r="Q73" s="31"/>
      <c r="R73" s="31"/>
      <c r="S73" s="33"/>
    </row>
    <row r="74" spans="2:19" x14ac:dyDescent="0.2">
      <c r="B74" s="1"/>
      <c r="C74" s="16" t="s">
        <v>11</v>
      </c>
      <c r="D74" s="16" t="s">
        <v>94</v>
      </c>
      <c r="E74" s="16" t="s">
        <v>78</v>
      </c>
      <c r="F74" s="36">
        <v>44690</v>
      </c>
      <c r="G74" s="37">
        <v>6.6551320999999997E-2</v>
      </c>
      <c r="H74" s="38" t="str">
        <f t="shared" si="3"/>
        <v>No</v>
      </c>
      <c r="I74" s="38" t="str">
        <f t="shared" si="4"/>
        <v>-</v>
      </c>
      <c r="J74" s="37">
        <v>0.27578409999999998</v>
      </c>
      <c r="K74" s="38" t="str">
        <f t="shared" si="5"/>
        <v>No</v>
      </c>
      <c r="L74" s="38" t="s">
        <v>110</v>
      </c>
      <c r="M74" s="1"/>
      <c r="N74" s="30"/>
      <c r="O74" s="31"/>
      <c r="P74" s="31"/>
      <c r="Q74" s="31"/>
      <c r="R74" s="31"/>
      <c r="S74" s="33"/>
    </row>
    <row r="75" spans="2:19" x14ac:dyDescent="0.2">
      <c r="B75" s="1"/>
      <c r="C75" s="16" t="s">
        <v>11</v>
      </c>
      <c r="D75" s="16" t="s">
        <v>95</v>
      </c>
      <c r="E75" s="16" t="s">
        <v>78</v>
      </c>
      <c r="F75" s="36">
        <v>44683</v>
      </c>
      <c r="G75" s="37">
        <v>0.40246593600000002</v>
      </c>
      <c r="H75" s="38" t="str">
        <f t="shared" si="3"/>
        <v>No</v>
      </c>
      <c r="I75" s="38" t="str">
        <f t="shared" si="4"/>
        <v>-</v>
      </c>
      <c r="J75" s="37">
        <v>0.56305649999999996</v>
      </c>
      <c r="K75" s="38" t="s">
        <v>111</v>
      </c>
      <c r="L75" s="38">
        <v>87</v>
      </c>
      <c r="M75" s="1"/>
      <c r="N75" s="30"/>
      <c r="O75" s="31"/>
      <c r="P75" s="31"/>
      <c r="Q75" s="31"/>
      <c r="R75" s="31"/>
      <c r="S75" s="33"/>
    </row>
    <row r="76" spans="2:19" x14ac:dyDescent="0.2">
      <c r="B76" s="1"/>
      <c r="C76" s="16" t="s">
        <v>11</v>
      </c>
      <c r="D76" s="16" t="s">
        <v>96</v>
      </c>
      <c r="E76" s="16" t="s">
        <v>78</v>
      </c>
      <c r="F76" s="36">
        <v>44699</v>
      </c>
      <c r="G76" s="37">
        <v>0.30660159100000001</v>
      </c>
      <c r="H76" s="38" t="str">
        <f t="shared" si="3"/>
        <v>No</v>
      </c>
      <c r="I76" s="38" t="str">
        <f t="shared" si="4"/>
        <v>-</v>
      </c>
      <c r="J76" s="37">
        <v>0.26084400000000002</v>
      </c>
      <c r="K76" s="38" t="str">
        <f t="shared" si="5"/>
        <v>No</v>
      </c>
      <c r="L76" s="38" t="s">
        <v>110</v>
      </c>
      <c r="M76" s="1"/>
      <c r="N76" s="30"/>
      <c r="O76" s="31"/>
      <c r="P76" s="31"/>
      <c r="Q76" s="31"/>
      <c r="R76" s="31"/>
      <c r="S76" s="33"/>
    </row>
    <row r="77" spans="2:19" x14ac:dyDescent="0.2">
      <c r="B77" s="1"/>
      <c r="C77" s="16" t="s">
        <v>11</v>
      </c>
      <c r="D77" s="16" t="s">
        <v>97</v>
      </c>
      <c r="E77" s="16" t="s">
        <v>78</v>
      </c>
      <c r="F77" s="36">
        <v>44693</v>
      </c>
      <c r="G77" s="37">
        <v>0.11789854600000001</v>
      </c>
      <c r="H77" s="38" t="str">
        <f t="shared" si="3"/>
        <v>No</v>
      </c>
      <c r="I77" s="38" t="str">
        <f t="shared" si="4"/>
        <v>-</v>
      </c>
      <c r="J77" s="37">
        <v>0.35665400000000003</v>
      </c>
      <c r="K77" s="38" t="str">
        <f t="shared" si="5"/>
        <v>No</v>
      </c>
      <c r="L77" s="38" t="s">
        <v>110</v>
      </c>
      <c r="M77" s="1"/>
      <c r="N77" s="30"/>
      <c r="O77" s="31"/>
      <c r="P77" s="31"/>
      <c r="Q77" s="31"/>
      <c r="R77" s="31"/>
      <c r="S77" s="33"/>
    </row>
    <row r="78" spans="2:19" x14ac:dyDescent="0.2">
      <c r="B78" s="1"/>
      <c r="C78" s="16" t="s">
        <v>11</v>
      </c>
      <c r="D78" s="16" t="s">
        <v>98</v>
      </c>
      <c r="E78" s="16" t="s">
        <v>78</v>
      </c>
      <c r="F78" s="36">
        <v>44688</v>
      </c>
      <c r="G78" s="37">
        <v>0.18230854499999999</v>
      </c>
      <c r="H78" s="38" t="str">
        <f t="shared" si="3"/>
        <v>No</v>
      </c>
      <c r="I78" s="38" t="str">
        <f t="shared" si="4"/>
        <v>-</v>
      </c>
      <c r="J78" s="37">
        <v>0.44408710000000001</v>
      </c>
      <c r="K78" s="38" t="str">
        <f t="shared" si="5"/>
        <v>No</v>
      </c>
      <c r="L78" s="38" t="s">
        <v>110</v>
      </c>
      <c r="M78" s="1"/>
      <c r="N78" s="30"/>
      <c r="O78" s="31"/>
      <c r="P78" s="31"/>
      <c r="Q78" s="31"/>
      <c r="R78" s="31"/>
      <c r="S78" s="33"/>
    </row>
    <row r="79" spans="2:19" x14ac:dyDescent="0.2">
      <c r="B79" s="1"/>
      <c r="C79" s="16" t="s">
        <v>11</v>
      </c>
      <c r="D79" s="16" t="s">
        <v>99</v>
      </c>
      <c r="E79" s="16" t="s">
        <v>78</v>
      </c>
      <c r="F79" s="36">
        <v>44711</v>
      </c>
      <c r="G79" s="37">
        <v>4.8766469999999999E-2</v>
      </c>
      <c r="H79" s="38" t="str">
        <f t="shared" si="3"/>
        <v>No</v>
      </c>
      <c r="I79" s="38" t="str">
        <f t="shared" si="4"/>
        <v>-</v>
      </c>
      <c r="J79" s="37">
        <v>0.20095660000000001</v>
      </c>
      <c r="K79" s="38" t="str">
        <f t="shared" si="5"/>
        <v>No</v>
      </c>
      <c r="L79" s="38" t="s">
        <v>110</v>
      </c>
      <c r="M79" s="1"/>
      <c r="N79" s="30"/>
      <c r="O79" s="31"/>
      <c r="P79" s="31"/>
      <c r="Q79" s="31"/>
      <c r="R79" s="31"/>
      <c r="S79" s="33"/>
    </row>
    <row r="80" spans="2:19" x14ac:dyDescent="0.2">
      <c r="B80" s="1"/>
      <c r="C80" s="16" t="s">
        <v>11</v>
      </c>
      <c r="D80" s="16" t="s">
        <v>100</v>
      </c>
      <c r="E80" s="16" t="s">
        <v>78</v>
      </c>
      <c r="F80" s="36">
        <v>44743</v>
      </c>
      <c r="G80" s="37">
        <v>0.237305611</v>
      </c>
      <c r="H80" s="38" t="str">
        <f t="shared" si="3"/>
        <v>No</v>
      </c>
      <c r="I80" s="38" t="str">
        <f t="shared" si="4"/>
        <v>-</v>
      </c>
      <c r="J80" s="37">
        <v>0.2098102</v>
      </c>
      <c r="K80" s="38" t="str">
        <f t="shared" si="5"/>
        <v>No</v>
      </c>
      <c r="L80" s="38" t="s">
        <v>110</v>
      </c>
      <c r="M80" s="1"/>
      <c r="N80" s="30"/>
      <c r="O80" s="31"/>
      <c r="P80" s="31"/>
      <c r="Q80" s="31"/>
      <c r="R80" s="31"/>
      <c r="S80" s="33"/>
    </row>
    <row r="81" spans="2:19" x14ac:dyDescent="0.2">
      <c r="B81" s="1"/>
      <c r="C81" s="16" t="s">
        <v>11</v>
      </c>
      <c r="D81" s="16" t="s">
        <v>86</v>
      </c>
      <c r="E81" s="16" t="s">
        <v>78</v>
      </c>
      <c r="F81" s="36">
        <v>44658</v>
      </c>
      <c r="G81" s="37">
        <v>0.139452674</v>
      </c>
      <c r="H81" s="38" t="str">
        <f t="shared" si="3"/>
        <v>No</v>
      </c>
      <c r="I81" s="38" t="str">
        <f t="shared" si="4"/>
        <v>-</v>
      </c>
      <c r="J81" s="37">
        <v>0.2755013</v>
      </c>
      <c r="K81" s="38" t="str">
        <f t="shared" si="5"/>
        <v>No</v>
      </c>
      <c r="L81" s="38" t="s">
        <v>110</v>
      </c>
      <c r="M81" s="1"/>
      <c r="N81" s="30"/>
      <c r="O81" s="31"/>
      <c r="P81" s="31"/>
      <c r="Q81" s="31"/>
      <c r="R81" s="31"/>
      <c r="S81" s="33"/>
    </row>
    <row r="82" spans="2:19" x14ac:dyDescent="0.2">
      <c r="B82" s="1"/>
      <c r="C82" s="16" t="s">
        <v>11</v>
      </c>
      <c r="D82" s="16" t="s">
        <v>87</v>
      </c>
      <c r="E82" s="16" t="s">
        <v>78</v>
      </c>
      <c r="F82" s="36">
        <v>44802</v>
      </c>
      <c r="G82" s="37">
        <v>7.9378555000000003E-2</v>
      </c>
      <c r="H82" s="38" t="str">
        <f t="shared" si="3"/>
        <v>No</v>
      </c>
      <c r="I82" s="38" t="str">
        <f t="shared" si="4"/>
        <v>-</v>
      </c>
      <c r="J82" s="37">
        <v>0.29505940000000003</v>
      </c>
      <c r="K82" s="38" t="str">
        <f t="shared" si="5"/>
        <v>No</v>
      </c>
      <c r="L82" s="38" t="s">
        <v>110</v>
      </c>
      <c r="M82" s="1"/>
      <c r="N82" s="30"/>
      <c r="O82" s="31"/>
      <c r="P82" s="31"/>
      <c r="Q82" s="31"/>
      <c r="R82" s="31"/>
      <c r="S82" s="33"/>
    </row>
    <row r="83" spans="2:19" x14ac:dyDescent="0.2">
      <c r="B83" s="1"/>
      <c r="C83" s="16" t="s">
        <v>11</v>
      </c>
      <c r="D83" s="16" t="s">
        <v>88</v>
      </c>
      <c r="E83" s="16" t="s">
        <v>78</v>
      </c>
      <c r="F83" s="36">
        <v>44809</v>
      </c>
      <c r="G83" s="37">
        <v>9.0272668E-2</v>
      </c>
      <c r="H83" s="38" t="str">
        <f t="shared" si="3"/>
        <v>No</v>
      </c>
      <c r="I83" s="38" t="str">
        <f t="shared" si="4"/>
        <v>-</v>
      </c>
      <c r="J83" s="37">
        <v>0.2472753</v>
      </c>
      <c r="K83" s="38" t="str">
        <f t="shared" si="5"/>
        <v>No</v>
      </c>
      <c r="L83" s="38" t="s">
        <v>110</v>
      </c>
      <c r="M83" s="1"/>
      <c r="N83" s="30"/>
      <c r="O83" s="31"/>
      <c r="P83" s="31"/>
      <c r="Q83" s="31"/>
      <c r="R83" s="31"/>
      <c r="S83" s="33"/>
    </row>
    <row r="84" spans="2:19" x14ac:dyDescent="0.2">
      <c r="B84" s="1"/>
      <c r="C84" s="16" t="s">
        <v>11</v>
      </c>
      <c r="D84" s="16" t="s">
        <v>89</v>
      </c>
      <c r="E84" s="16" t="s">
        <v>78</v>
      </c>
      <c r="F84" s="36">
        <v>44804</v>
      </c>
      <c r="G84" s="37">
        <v>0.64804103999999996</v>
      </c>
      <c r="H84" s="38" t="str">
        <f t="shared" si="3"/>
        <v>Yes</v>
      </c>
      <c r="I84" s="38" t="str">
        <f t="shared" si="4"/>
        <v/>
      </c>
      <c r="J84" s="37">
        <v>0.2790685</v>
      </c>
      <c r="K84" s="38" t="str">
        <f t="shared" si="5"/>
        <v>No</v>
      </c>
      <c r="L84" s="38" t="s">
        <v>110</v>
      </c>
      <c r="M84" s="1"/>
      <c r="N84" s="30"/>
      <c r="O84" s="31"/>
      <c r="P84" s="31"/>
      <c r="Q84" s="31"/>
      <c r="R84" s="31"/>
      <c r="S84" s="33"/>
    </row>
    <row r="85" spans="2:19" x14ac:dyDescent="0.2">
      <c r="B85" s="1"/>
      <c r="C85" s="16" t="s">
        <v>11</v>
      </c>
      <c r="D85" s="16" t="s">
        <v>104</v>
      </c>
      <c r="E85" s="16" t="s">
        <v>78</v>
      </c>
      <c r="F85" s="36">
        <v>44845</v>
      </c>
      <c r="G85" s="37">
        <v>1.6611299999999999E-2</v>
      </c>
      <c r="H85" s="38" t="str">
        <f t="shared" si="3"/>
        <v>No</v>
      </c>
      <c r="I85" s="38" t="str">
        <f t="shared" si="4"/>
        <v>-</v>
      </c>
      <c r="J85" s="37">
        <v>0.21648809999999999</v>
      </c>
      <c r="K85" s="38" t="str">
        <f t="shared" si="5"/>
        <v>No</v>
      </c>
      <c r="L85" s="38" t="s">
        <v>110</v>
      </c>
      <c r="M85" s="1"/>
      <c r="N85" s="30"/>
      <c r="O85" s="31"/>
      <c r="P85" s="31"/>
      <c r="Q85" s="31"/>
      <c r="R85" s="31"/>
      <c r="S85" s="33"/>
    </row>
    <row r="86" spans="2:19" x14ac:dyDescent="0.2">
      <c r="B86" s="1"/>
      <c r="C86" s="16" t="s">
        <v>11</v>
      </c>
      <c r="D86" s="16" t="s">
        <v>90</v>
      </c>
      <c r="E86" s="16" t="s">
        <v>78</v>
      </c>
      <c r="F86" s="36">
        <v>44835</v>
      </c>
      <c r="G86" s="37">
        <v>0.213809524</v>
      </c>
      <c r="H86" s="38" t="str">
        <f t="shared" si="3"/>
        <v>No</v>
      </c>
      <c r="I86" s="38" t="str">
        <f t="shared" si="4"/>
        <v>-</v>
      </c>
      <c r="J86" s="37">
        <v>0.29361510000000002</v>
      </c>
      <c r="K86" s="38" t="str">
        <f t="shared" si="5"/>
        <v>No</v>
      </c>
      <c r="L86" s="38" t="s">
        <v>110</v>
      </c>
      <c r="M86" s="1"/>
      <c r="N86" s="30"/>
      <c r="O86" s="31"/>
      <c r="P86" s="31"/>
      <c r="Q86" s="31"/>
      <c r="R86" s="31"/>
      <c r="S86" s="33"/>
    </row>
    <row r="87" spans="2:19" x14ac:dyDescent="0.2">
      <c r="B87" s="1"/>
      <c r="C87" s="13" t="s">
        <v>11</v>
      </c>
      <c r="D87" s="13" t="s">
        <v>91</v>
      </c>
      <c r="E87" s="13" t="s">
        <v>78</v>
      </c>
      <c r="F87" s="39">
        <v>44892</v>
      </c>
      <c r="G87" s="40">
        <v>0.98649459799999994</v>
      </c>
      <c r="H87" s="28" t="str">
        <f t="shared" si="3"/>
        <v>Yes</v>
      </c>
      <c r="I87" s="28">
        <v>46</v>
      </c>
      <c r="J87" s="40">
        <v>0.76472929999999995</v>
      </c>
      <c r="K87" s="28" t="str">
        <f t="shared" si="5"/>
        <v>Yes</v>
      </c>
      <c r="L87" s="28">
        <v>52</v>
      </c>
      <c r="M87" s="1"/>
      <c r="N87" s="30"/>
      <c r="O87" s="31"/>
      <c r="P87" s="31"/>
      <c r="Q87" s="31"/>
      <c r="R87" s="31"/>
      <c r="S87" s="33"/>
    </row>
    <row r="88" spans="2:19" x14ac:dyDescent="0.2">
      <c r="B88" s="1"/>
      <c r="C88" s="16" t="s">
        <v>6</v>
      </c>
      <c r="D88" s="16" t="s">
        <v>92</v>
      </c>
      <c r="E88" s="16" t="s">
        <v>109</v>
      </c>
      <c r="F88" s="36">
        <v>44585</v>
      </c>
      <c r="G88" s="37">
        <v>5.0724063999999999E-2</v>
      </c>
      <c r="H88" s="38" t="str">
        <f t="shared" si="3"/>
        <v>No</v>
      </c>
      <c r="I88" s="38" t="str">
        <f t="shared" si="4"/>
        <v>-</v>
      </c>
      <c r="J88" s="37">
        <v>0.20669380000000001</v>
      </c>
      <c r="K88" s="38" t="str">
        <f t="shared" si="5"/>
        <v>No</v>
      </c>
      <c r="L88" s="38" t="s">
        <v>110</v>
      </c>
      <c r="M88" s="1"/>
      <c r="N88" s="30"/>
      <c r="O88" s="31"/>
      <c r="P88" s="31"/>
      <c r="Q88" s="31"/>
      <c r="R88" s="31"/>
      <c r="S88" s="33"/>
    </row>
    <row r="89" spans="2:19" x14ac:dyDescent="0.2">
      <c r="B89" s="1"/>
      <c r="C89" s="16" t="s">
        <v>6</v>
      </c>
      <c r="D89" s="16" t="s">
        <v>93</v>
      </c>
      <c r="E89" s="16" t="s">
        <v>109</v>
      </c>
      <c r="F89" s="36">
        <v>44669</v>
      </c>
      <c r="G89" s="37">
        <v>0.135544947</v>
      </c>
      <c r="H89" s="38" t="str">
        <f t="shared" si="3"/>
        <v>No</v>
      </c>
      <c r="I89" s="38" t="str">
        <f t="shared" si="4"/>
        <v>-</v>
      </c>
      <c r="J89" s="37">
        <v>0.2704415</v>
      </c>
      <c r="K89" s="38" t="str">
        <f t="shared" si="5"/>
        <v>No</v>
      </c>
      <c r="L89" s="38" t="s">
        <v>110</v>
      </c>
      <c r="M89" s="1"/>
      <c r="N89" s="30"/>
      <c r="O89" s="31"/>
      <c r="P89" s="31"/>
      <c r="Q89" s="31"/>
      <c r="R89" s="31"/>
      <c r="S89" s="33"/>
    </row>
    <row r="90" spans="2:19" x14ac:dyDescent="0.2">
      <c r="B90" s="1"/>
      <c r="C90" s="16" t="s">
        <v>6</v>
      </c>
      <c r="D90" s="16" t="s">
        <v>94</v>
      </c>
      <c r="E90" s="16" t="s">
        <v>109</v>
      </c>
      <c r="F90" s="36">
        <v>44692</v>
      </c>
      <c r="G90" s="37">
        <v>0.116830569</v>
      </c>
      <c r="H90" s="38" t="str">
        <f t="shared" si="3"/>
        <v>No</v>
      </c>
      <c r="I90" s="38" t="str">
        <f t="shared" si="4"/>
        <v>-</v>
      </c>
      <c r="J90" s="37">
        <v>0.24627750000000001</v>
      </c>
      <c r="K90" s="38" t="str">
        <f t="shared" si="5"/>
        <v>No</v>
      </c>
      <c r="L90" s="38" t="s">
        <v>110</v>
      </c>
      <c r="M90" s="1"/>
      <c r="N90" s="30"/>
      <c r="O90" s="31"/>
      <c r="P90" s="31"/>
      <c r="Q90" s="31"/>
      <c r="R90" s="31"/>
      <c r="S90" s="33"/>
    </row>
    <row r="91" spans="2:19" x14ac:dyDescent="0.2">
      <c r="B91" s="1"/>
      <c r="C91" s="16" t="s">
        <v>6</v>
      </c>
      <c r="D91" s="16" t="s">
        <v>95</v>
      </c>
      <c r="E91" s="16" t="s">
        <v>109</v>
      </c>
      <c r="F91" s="36">
        <v>44687</v>
      </c>
      <c r="G91" s="37">
        <v>0.29009565199999998</v>
      </c>
      <c r="H91" s="38" t="str">
        <f t="shared" si="3"/>
        <v>No</v>
      </c>
      <c r="I91" s="38" t="str">
        <f t="shared" si="4"/>
        <v>-</v>
      </c>
      <c r="J91" s="37">
        <v>0.30598750000000002</v>
      </c>
      <c r="K91" s="38" t="str">
        <f t="shared" si="5"/>
        <v>No</v>
      </c>
      <c r="L91" s="38" t="s">
        <v>110</v>
      </c>
      <c r="M91" s="1"/>
      <c r="N91" s="30"/>
      <c r="O91" s="31"/>
      <c r="P91" s="31"/>
      <c r="Q91" s="31"/>
      <c r="R91" s="31"/>
      <c r="S91" s="33"/>
    </row>
    <row r="92" spans="2:19" x14ac:dyDescent="0.2">
      <c r="B92" s="1"/>
      <c r="C92" s="16" t="s">
        <v>6</v>
      </c>
      <c r="D92" s="16" t="s">
        <v>96</v>
      </c>
      <c r="E92" s="16" t="s">
        <v>109</v>
      </c>
      <c r="F92" s="36">
        <v>44700</v>
      </c>
      <c r="G92" s="37">
        <v>0.28186643</v>
      </c>
      <c r="H92" s="38" t="str">
        <f t="shared" si="3"/>
        <v>No</v>
      </c>
      <c r="I92" s="38" t="str">
        <f t="shared" si="4"/>
        <v>-</v>
      </c>
      <c r="J92" s="37">
        <v>0.27136440000000001</v>
      </c>
      <c r="K92" s="38" t="str">
        <f t="shared" si="5"/>
        <v>No</v>
      </c>
      <c r="L92" s="38" t="s">
        <v>110</v>
      </c>
      <c r="M92" s="1"/>
      <c r="N92" s="30"/>
      <c r="O92" s="31"/>
      <c r="P92" s="31"/>
      <c r="Q92" s="31"/>
      <c r="R92" s="31"/>
      <c r="S92" s="33"/>
    </row>
    <row r="93" spans="2:19" x14ac:dyDescent="0.2">
      <c r="B93" s="1"/>
      <c r="C93" s="16" t="s">
        <v>6</v>
      </c>
      <c r="D93" s="16" t="s">
        <v>97</v>
      </c>
      <c r="E93" s="16" t="s">
        <v>109</v>
      </c>
      <c r="F93" s="36">
        <v>44703</v>
      </c>
      <c r="G93" s="37">
        <v>5.7726722000000001E-2</v>
      </c>
      <c r="H93" s="38" t="str">
        <f t="shared" si="3"/>
        <v>No</v>
      </c>
      <c r="I93" s="38" t="str">
        <f t="shared" si="4"/>
        <v>-</v>
      </c>
      <c r="J93" s="37">
        <v>0.24077760000000001</v>
      </c>
      <c r="K93" s="38" t="str">
        <f t="shared" si="5"/>
        <v>No</v>
      </c>
      <c r="L93" s="38" t="s">
        <v>110</v>
      </c>
      <c r="M93" s="1"/>
      <c r="N93" s="30"/>
      <c r="O93" s="31"/>
      <c r="P93" s="31"/>
      <c r="Q93" s="31"/>
      <c r="R93" s="31"/>
      <c r="S93" s="33"/>
    </row>
    <row r="94" spans="2:19" x14ac:dyDescent="0.2">
      <c r="B94" s="1"/>
      <c r="C94" s="16" t="s">
        <v>6</v>
      </c>
      <c r="D94" s="16" t="s">
        <v>98</v>
      </c>
      <c r="E94" s="16" t="s">
        <v>109</v>
      </c>
      <c r="F94" s="36">
        <v>44697</v>
      </c>
      <c r="G94" s="37">
        <v>0.31200490400000003</v>
      </c>
      <c r="H94" s="38" t="str">
        <f t="shared" si="3"/>
        <v>No</v>
      </c>
      <c r="I94" s="38" t="str">
        <f t="shared" si="4"/>
        <v>-</v>
      </c>
      <c r="J94" s="37">
        <v>0.23362289999999999</v>
      </c>
      <c r="K94" s="38" t="str">
        <f t="shared" si="5"/>
        <v>No</v>
      </c>
      <c r="L94" s="38" t="s">
        <v>110</v>
      </c>
      <c r="M94" s="1"/>
      <c r="N94" s="30"/>
      <c r="O94" s="31"/>
      <c r="P94" s="31"/>
      <c r="Q94" s="31"/>
      <c r="R94" s="31"/>
      <c r="S94" s="33"/>
    </row>
    <row r="95" spans="2:19" x14ac:dyDescent="0.2">
      <c r="B95" s="1"/>
      <c r="C95" s="16" t="s">
        <v>6</v>
      </c>
      <c r="D95" s="16" t="s">
        <v>99</v>
      </c>
      <c r="E95" s="16" t="s">
        <v>109</v>
      </c>
      <c r="F95" s="36">
        <v>44725</v>
      </c>
      <c r="G95" s="37">
        <v>2.4625177000000002E-2</v>
      </c>
      <c r="H95" s="38" t="str">
        <f t="shared" si="3"/>
        <v>No</v>
      </c>
      <c r="I95" s="38" t="str">
        <f t="shared" si="4"/>
        <v>-</v>
      </c>
      <c r="J95" s="37">
        <v>0.18955859999999999</v>
      </c>
      <c r="K95" s="38" t="str">
        <f t="shared" si="5"/>
        <v>No</v>
      </c>
      <c r="L95" s="38" t="s">
        <v>110</v>
      </c>
      <c r="M95" s="1"/>
      <c r="N95" s="30"/>
      <c r="O95" s="31"/>
      <c r="P95" s="31"/>
      <c r="Q95" s="31"/>
      <c r="R95" s="31"/>
      <c r="S95" s="33"/>
    </row>
    <row r="96" spans="2:19" x14ac:dyDescent="0.2">
      <c r="B96" s="1"/>
      <c r="C96" s="16" t="s">
        <v>6</v>
      </c>
      <c r="D96" s="16" t="s">
        <v>100</v>
      </c>
      <c r="E96" s="16" t="s">
        <v>109</v>
      </c>
      <c r="F96" s="36">
        <v>44764</v>
      </c>
      <c r="G96" s="37">
        <v>0.117707176</v>
      </c>
      <c r="H96" s="38" t="str">
        <f t="shared" si="3"/>
        <v>No</v>
      </c>
      <c r="I96" s="38" t="str">
        <f t="shared" si="4"/>
        <v>-</v>
      </c>
      <c r="J96" s="37">
        <v>0.19022040000000001</v>
      </c>
      <c r="K96" s="38" t="str">
        <f t="shared" si="5"/>
        <v>No</v>
      </c>
      <c r="L96" s="38" t="s">
        <v>110</v>
      </c>
      <c r="M96" s="1"/>
      <c r="N96" s="30"/>
      <c r="O96" s="31"/>
      <c r="P96" s="31"/>
      <c r="Q96" s="31"/>
      <c r="R96" s="31"/>
      <c r="S96" s="33"/>
    </row>
    <row r="97" spans="2:19" x14ac:dyDescent="0.2">
      <c r="B97" s="1"/>
      <c r="C97" s="16" t="s">
        <v>6</v>
      </c>
      <c r="D97" s="16" t="s">
        <v>86</v>
      </c>
      <c r="E97" s="16" t="s">
        <v>109</v>
      </c>
      <c r="F97" s="36">
        <v>44607</v>
      </c>
      <c r="G97" s="37">
        <v>0.46972883599999998</v>
      </c>
      <c r="H97" s="38" t="str">
        <f t="shared" si="3"/>
        <v>No</v>
      </c>
      <c r="I97" s="38" t="str">
        <f t="shared" si="4"/>
        <v>-</v>
      </c>
      <c r="J97" s="37">
        <v>0.31441219999999998</v>
      </c>
      <c r="K97" s="38" t="str">
        <f t="shared" si="5"/>
        <v>No</v>
      </c>
      <c r="L97" s="38" t="s">
        <v>110</v>
      </c>
      <c r="M97" s="1"/>
      <c r="N97" s="30"/>
      <c r="O97" s="31"/>
      <c r="P97" s="31"/>
      <c r="Q97" s="31"/>
      <c r="R97" s="31"/>
      <c r="S97" s="33"/>
    </row>
    <row r="98" spans="2:19" x14ac:dyDescent="0.2">
      <c r="B98" s="1"/>
      <c r="C98" s="16" t="s">
        <v>6</v>
      </c>
      <c r="D98" s="16" t="s">
        <v>87</v>
      </c>
      <c r="E98" s="16" t="s">
        <v>109</v>
      </c>
      <c r="F98" s="36">
        <v>44841</v>
      </c>
      <c r="G98" s="37">
        <v>2.8961265E-2</v>
      </c>
      <c r="H98" s="38" t="str">
        <f t="shared" si="3"/>
        <v>No</v>
      </c>
      <c r="I98" s="38" t="str">
        <f t="shared" si="4"/>
        <v>-</v>
      </c>
      <c r="J98" s="37">
        <v>0.2390967</v>
      </c>
      <c r="K98" s="38" t="str">
        <f t="shared" si="5"/>
        <v>No</v>
      </c>
      <c r="L98" s="38" t="s">
        <v>110</v>
      </c>
      <c r="M98" s="1"/>
      <c r="N98" s="30"/>
      <c r="O98" s="31"/>
      <c r="P98" s="31"/>
      <c r="Q98" s="31"/>
      <c r="R98" s="31"/>
      <c r="S98" s="33"/>
    </row>
    <row r="99" spans="2:19" x14ac:dyDescent="0.2">
      <c r="B99" s="1"/>
      <c r="C99" s="16" t="s">
        <v>6</v>
      </c>
      <c r="D99" s="16" t="s">
        <v>88</v>
      </c>
      <c r="E99" s="16" t="s">
        <v>109</v>
      </c>
      <c r="F99" s="36">
        <v>44799</v>
      </c>
      <c r="G99" s="37">
        <v>0.17704365999999999</v>
      </c>
      <c r="H99" s="38" t="str">
        <f t="shared" si="3"/>
        <v>No</v>
      </c>
      <c r="I99" s="38" t="str">
        <f t="shared" si="4"/>
        <v>-</v>
      </c>
      <c r="J99" s="37">
        <v>0.20075580000000001</v>
      </c>
      <c r="K99" s="38" t="str">
        <f t="shared" si="5"/>
        <v>No</v>
      </c>
      <c r="L99" s="38" t="s">
        <v>110</v>
      </c>
      <c r="M99" s="1"/>
      <c r="N99" s="30"/>
      <c r="O99" s="31"/>
      <c r="P99" s="31"/>
      <c r="Q99" s="31"/>
      <c r="R99" s="31"/>
      <c r="S99" s="33"/>
    </row>
    <row r="100" spans="2:19" x14ac:dyDescent="0.2">
      <c r="B100" s="1"/>
      <c r="C100" s="13" t="s">
        <v>6</v>
      </c>
      <c r="D100" s="13" t="s">
        <v>89</v>
      </c>
      <c r="E100" s="13" t="s">
        <v>109</v>
      </c>
      <c r="F100" s="39">
        <v>44806</v>
      </c>
      <c r="G100" s="40">
        <v>0.65307077499999999</v>
      </c>
      <c r="H100" s="28" t="str">
        <f t="shared" si="3"/>
        <v>Yes</v>
      </c>
      <c r="I100" s="28">
        <v>75</v>
      </c>
      <c r="J100" s="40">
        <v>0.24904899999999999</v>
      </c>
      <c r="K100" s="28" t="str">
        <f t="shared" si="5"/>
        <v>No</v>
      </c>
      <c r="L100" s="28">
        <v>70</v>
      </c>
      <c r="M100" s="1"/>
      <c r="N100" s="30"/>
      <c r="O100" s="31"/>
      <c r="P100" s="31"/>
      <c r="Q100" s="31"/>
      <c r="R100" s="31"/>
      <c r="S100" s="33"/>
    </row>
    <row r="101" spans="2:19" x14ac:dyDescent="0.2">
      <c r="B101" s="1"/>
      <c r="C101" s="16" t="s">
        <v>6</v>
      </c>
      <c r="D101" s="16" t="s">
        <v>90</v>
      </c>
      <c r="E101" s="16" t="s">
        <v>109</v>
      </c>
      <c r="F101" s="36">
        <v>44849</v>
      </c>
      <c r="G101" s="37">
        <v>0.32172547499999998</v>
      </c>
      <c r="H101" s="38" t="str">
        <f t="shared" si="3"/>
        <v>No</v>
      </c>
      <c r="I101" s="38" t="str">
        <f t="shared" si="4"/>
        <v>-</v>
      </c>
      <c r="J101" s="37">
        <v>0.30067759999999999</v>
      </c>
      <c r="K101" s="38" t="str">
        <f t="shared" si="5"/>
        <v>No</v>
      </c>
      <c r="L101" s="38" t="s">
        <v>110</v>
      </c>
      <c r="M101" s="1"/>
      <c r="N101" s="30"/>
      <c r="O101" s="31"/>
      <c r="P101" s="31"/>
      <c r="Q101" s="31"/>
      <c r="R101" s="31"/>
      <c r="S101" s="33"/>
    </row>
    <row r="102" spans="2:19" x14ac:dyDescent="0.2">
      <c r="B102" s="1"/>
      <c r="C102" s="13" t="s">
        <v>6</v>
      </c>
      <c r="D102" s="13" t="s">
        <v>91</v>
      </c>
      <c r="E102" s="13" t="s">
        <v>109</v>
      </c>
      <c r="F102" s="39">
        <v>44640</v>
      </c>
      <c r="G102" s="40">
        <v>0.92022509799999996</v>
      </c>
      <c r="H102" s="28" t="str">
        <f t="shared" si="3"/>
        <v>Yes</v>
      </c>
      <c r="I102" s="28">
        <v>55</v>
      </c>
      <c r="J102" s="40">
        <v>0.29709740000000001</v>
      </c>
      <c r="K102" s="28" t="str">
        <f t="shared" si="5"/>
        <v>No</v>
      </c>
      <c r="L102" s="28">
        <v>47</v>
      </c>
      <c r="M102" s="1"/>
      <c r="N102" s="30"/>
      <c r="O102" s="31"/>
      <c r="P102" s="31"/>
      <c r="Q102" s="31"/>
      <c r="R102" s="31"/>
      <c r="S102" s="33"/>
    </row>
    <row r="103" spans="2:19" x14ac:dyDescent="0.2">
      <c r="B103" s="1"/>
      <c r="C103" s="16" t="s">
        <v>13</v>
      </c>
      <c r="D103" s="16" t="s">
        <v>103</v>
      </c>
      <c r="E103" s="16" t="s">
        <v>109</v>
      </c>
      <c r="F103" s="36">
        <v>44585</v>
      </c>
      <c r="G103" s="37">
        <v>5.1896618999999998E-2</v>
      </c>
      <c r="H103" s="38" t="str">
        <f t="shared" si="3"/>
        <v>No</v>
      </c>
      <c r="I103" s="38" t="str">
        <f t="shared" si="4"/>
        <v>-</v>
      </c>
      <c r="J103" s="37">
        <v>0.19859479999999999</v>
      </c>
      <c r="K103" s="38" t="str">
        <f t="shared" si="5"/>
        <v>No</v>
      </c>
      <c r="L103" s="38" t="s">
        <v>110</v>
      </c>
      <c r="M103" s="1"/>
      <c r="N103" s="30"/>
      <c r="O103" s="31"/>
      <c r="P103" s="31"/>
      <c r="Q103" s="31"/>
      <c r="R103" s="31"/>
      <c r="S103" s="33"/>
    </row>
    <row r="104" spans="2:19" x14ac:dyDescent="0.2">
      <c r="B104" s="1"/>
      <c r="C104" s="16" t="s">
        <v>13</v>
      </c>
      <c r="D104" s="16" t="s">
        <v>92</v>
      </c>
      <c r="E104" s="16" t="s">
        <v>109</v>
      </c>
      <c r="F104" s="36">
        <v>44579</v>
      </c>
      <c r="G104" s="37">
        <v>0.117961569</v>
      </c>
      <c r="H104" s="38" t="str">
        <f t="shared" si="3"/>
        <v>No</v>
      </c>
      <c r="I104" s="38" t="str">
        <f t="shared" si="4"/>
        <v>-</v>
      </c>
      <c r="J104" s="37">
        <v>0.29300559999999998</v>
      </c>
      <c r="K104" s="38" t="str">
        <f t="shared" si="5"/>
        <v>No</v>
      </c>
      <c r="L104" s="38" t="s">
        <v>110</v>
      </c>
      <c r="M104" s="1"/>
      <c r="N104" s="30"/>
      <c r="O104" s="31"/>
      <c r="P104" s="31"/>
      <c r="Q104" s="31"/>
      <c r="R104" s="31"/>
      <c r="S104" s="33"/>
    </row>
    <row r="105" spans="2:19" x14ac:dyDescent="0.2">
      <c r="B105" s="1"/>
      <c r="C105" s="16" t="s">
        <v>13</v>
      </c>
      <c r="D105" s="16" t="s">
        <v>93</v>
      </c>
      <c r="E105" s="16" t="s">
        <v>109</v>
      </c>
      <c r="F105" s="36">
        <v>44662</v>
      </c>
      <c r="G105" s="37">
        <v>8.2372524000000003E-2</v>
      </c>
      <c r="H105" s="38" t="str">
        <f t="shared" si="3"/>
        <v>No</v>
      </c>
      <c r="I105" s="38" t="str">
        <f t="shared" si="4"/>
        <v>-</v>
      </c>
      <c r="J105" s="37">
        <v>0.37490040000000002</v>
      </c>
      <c r="K105" s="38" t="str">
        <f t="shared" si="5"/>
        <v>No</v>
      </c>
      <c r="L105" s="38" t="s">
        <v>110</v>
      </c>
      <c r="M105" s="1"/>
      <c r="N105" s="30"/>
      <c r="O105" s="31"/>
      <c r="P105" s="31"/>
      <c r="Q105" s="31"/>
      <c r="R105" s="31"/>
      <c r="S105" s="33"/>
    </row>
    <row r="106" spans="2:19" x14ac:dyDescent="0.2">
      <c r="B106" s="1"/>
      <c r="C106" s="16" t="s">
        <v>13</v>
      </c>
      <c r="D106" s="16" t="s">
        <v>94</v>
      </c>
      <c r="E106" s="16" t="s">
        <v>109</v>
      </c>
      <c r="F106" s="36">
        <v>44670</v>
      </c>
      <c r="G106" s="37">
        <v>7.5108425000000006E-2</v>
      </c>
      <c r="H106" s="38" t="str">
        <f t="shared" si="3"/>
        <v>No</v>
      </c>
      <c r="I106" s="38" t="str">
        <f t="shared" si="4"/>
        <v>-</v>
      </c>
      <c r="J106" s="37">
        <v>0.20530280000000001</v>
      </c>
      <c r="K106" s="38" t="str">
        <f t="shared" si="5"/>
        <v>No</v>
      </c>
      <c r="L106" s="38" t="s">
        <v>110</v>
      </c>
      <c r="M106" s="1"/>
      <c r="N106" s="30"/>
      <c r="O106" s="31"/>
      <c r="P106" s="31"/>
      <c r="Q106" s="31"/>
      <c r="R106" s="31"/>
      <c r="S106" s="33"/>
    </row>
    <row r="107" spans="2:19" x14ac:dyDescent="0.2">
      <c r="B107" s="1"/>
      <c r="C107" s="16" t="s">
        <v>13</v>
      </c>
      <c r="D107" s="16" t="s">
        <v>95</v>
      </c>
      <c r="E107" s="16" t="s">
        <v>109</v>
      </c>
      <c r="F107" s="36">
        <v>44670</v>
      </c>
      <c r="G107" s="37">
        <v>0.480544896</v>
      </c>
      <c r="H107" s="38" t="str">
        <f t="shared" si="3"/>
        <v>No</v>
      </c>
      <c r="I107" s="38" t="str">
        <f t="shared" si="4"/>
        <v>-</v>
      </c>
      <c r="J107" s="37">
        <v>0.6059734</v>
      </c>
      <c r="K107" s="38" t="str">
        <f t="shared" si="5"/>
        <v>Yes</v>
      </c>
      <c r="L107" s="38">
        <v>71</v>
      </c>
      <c r="M107" s="1"/>
      <c r="N107" s="30"/>
      <c r="O107" s="31"/>
      <c r="P107" s="31"/>
      <c r="Q107" s="31"/>
      <c r="R107" s="31"/>
      <c r="S107" s="33"/>
    </row>
    <row r="108" spans="2:19" x14ac:dyDescent="0.2">
      <c r="B108" s="1"/>
      <c r="C108" s="16" t="s">
        <v>13</v>
      </c>
      <c r="D108" s="16" t="s">
        <v>96</v>
      </c>
      <c r="E108" s="16" t="s">
        <v>109</v>
      </c>
      <c r="F108" s="36">
        <v>44670</v>
      </c>
      <c r="G108" s="37">
        <v>0.29485611900000003</v>
      </c>
      <c r="H108" s="38" t="str">
        <f t="shared" si="3"/>
        <v>No</v>
      </c>
      <c r="I108" s="38" t="str">
        <f t="shared" si="4"/>
        <v>-</v>
      </c>
      <c r="J108" s="37">
        <v>0.29984440000000001</v>
      </c>
      <c r="K108" s="38" t="str">
        <f t="shared" si="5"/>
        <v>No</v>
      </c>
      <c r="L108" s="38" t="s">
        <v>110</v>
      </c>
      <c r="M108" s="1"/>
      <c r="N108" s="30"/>
      <c r="O108" s="31"/>
      <c r="P108" s="31"/>
      <c r="Q108" s="31"/>
      <c r="R108" s="31"/>
      <c r="S108" s="33"/>
    </row>
    <row r="109" spans="2:19" x14ac:dyDescent="0.2">
      <c r="B109" s="1"/>
      <c r="C109" s="16" t="s">
        <v>13</v>
      </c>
      <c r="D109" s="16" t="s">
        <v>97</v>
      </c>
      <c r="E109" s="16" t="s">
        <v>109</v>
      </c>
      <c r="F109" s="36">
        <v>44699</v>
      </c>
      <c r="G109" s="37">
        <v>5.7779680999999999E-2</v>
      </c>
      <c r="H109" s="38" t="str">
        <f t="shared" si="3"/>
        <v>No</v>
      </c>
      <c r="I109" s="38" t="str">
        <f t="shared" si="4"/>
        <v>-</v>
      </c>
      <c r="J109" s="37">
        <v>0.31445699999999999</v>
      </c>
      <c r="K109" s="38" t="str">
        <f t="shared" si="5"/>
        <v>No</v>
      </c>
      <c r="L109" s="38" t="s">
        <v>110</v>
      </c>
      <c r="M109" s="1"/>
      <c r="N109" s="30"/>
      <c r="O109" s="31"/>
      <c r="P109" s="31"/>
      <c r="Q109" s="31"/>
      <c r="R109" s="31"/>
      <c r="S109" s="33"/>
    </row>
    <row r="110" spans="2:19" x14ac:dyDescent="0.2">
      <c r="B110" s="1"/>
      <c r="C110" s="16" t="s">
        <v>13</v>
      </c>
      <c r="D110" s="16" t="s">
        <v>98</v>
      </c>
      <c r="E110" s="16" t="s">
        <v>109</v>
      </c>
      <c r="F110" s="36">
        <v>44676</v>
      </c>
      <c r="G110" s="37">
        <v>0.15919410000000001</v>
      </c>
      <c r="H110" s="38" t="str">
        <f t="shared" si="3"/>
        <v>No</v>
      </c>
      <c r="I110" s="38" t="str">
        <f t="shared" si="4"/>
        <v>-</v>
      </c>
      <c r="J110" s="37">
        <v>0.34836319999999998</v>
      </c>
      <c r="K110" s="38" t="str">
        <f t="shared" si="5"/>
        <v>No</v>
      </c>
      <c r="L110" s="38" t="s">
        <v>110</v>
      </c>
      <c r="M110" s="1"/>
      <c r="N110" s="30"/>
      <c r="O110" s="31"/>
      <c r="P110" s="31"/>
      <c r="Q110" s="31"/>
      <c r="R110" s="31"/>
      <c r="S110" s="33"/>
    </row>
    <row r="111" spans="2:19" x14ac:dyDescent="0.2">
      <c r="B111" s="1"/>
      <c r="C111" s="16" t="s">
        <v>13</v>
      </c>
      <c r="D111" s="16" t="s">
        <v>99</v>
      </c>
      <c r="E111" s="16" t="s">
        <v>109</v>
      </c>
      <c r="F111" s="36">
        <v>44704</v>
      </c>
      <c r="G111" s="37">
        <v>3.9860540999999999E-2</v>
      </c>
      <c r="H111" s="38" t="str">
        <f t="shared" si="3"/>
        <v>No</v>
      </c>
      <c r="I111" s="38" t="str">
        <f t="shared" si="4"/>
        <v>-</v>
      </c>
      <c r="J111" s="37">
        <v>0.25036819999999999</v>
      </c>
      <c r="K111" s="38" t="str">
        <f t="shared" si="5"/>
        <v>No</v>
      </c>
      <c r="L111" s="38" t="s">
        <v>110</v>
      </c>
      <c r="M111" s="1"/>
      <c r="N111" s="30"/>
      <c r="O111" s="31"/>
      <c r="P111" s="31"/>
      <c r="Q111" s="31"/>
      <c r="R111" s="31"/>
      <c r="S111" s="33"/>
    </row>
    <row r="112" spans="2:19" x14ac:dyDescent="0.2">
      <c r="B112" s="1"/>
      <c r="C112" s="16" t="s">
        <v>13</v>
      </c>
      <c r="D112" s="16" t="s">
        <v>100</v>
      </c>
      <c r="E112" s="16" t="s">
        <v>109</v>
      </c>
      <c r="F112" s="36">
        <v>44739</v>
      </c>
      <c r="G112" s="37">
        <v>0.14846248200000001</v>
      </c>
      <c r="H112" s="38" t="str">
        <f t="shared" si="3"/>
        <v>No</v>
      </c>
      <c r="I112" s="38" t="str">
        <f t="shared" si="4"/>
        <v>-</v>
      </c>
      <c r="J112" s="37">
        <v>0.2706115</v>
      </c>
      <c r="K112" s="38" t="str">
        <f t="shared" si="5"/>
        <v>No</v>
      </c>
      <c r="L112" s="38" t="s">
        <v>110</v>
      </c>
      <c r="M112" s="1"/>
      <c r="N112" s="30"/>
      <c r="O112" s="31"/>
      <c r="P112" s="31"/>
      <c r="Q112" s="31"/>
      <c r="R112" s="31"/>
      <c r="S112" s="33"/>
    </row>
    <row r="113" spans="2:19" x14ac:dyDescent="0.2">
      <c r="B113" s="1"/>
      <c r="C113" s="16" t="s">
        <v>13</v>
      </c>
      <c r="D113" s="16" t="s">
        <v>86</v>
      </c>
      <c r="E113" s="16" t="s">
        <v>109</v>
      </c>
      <c r="F113" s="36">
        <v>44659</v>
      </c>
      <c r="G113" s="37">
        <v>7.0375624999999997E-2</v>
      </c>
      <c r="H113" s="38" t="str">
        <f t="shared" si="3"/>
        <v>No</v>
      </c>
      <c r="I113" s="38" t="str">
        <f t="shared" si="4"/>
        <v>-</v>
      </c>
      <c r="J113" s="37">
        <v>0.33785349999999997</v>
      </c>
      <c r="K113" s="38" t="str">
        <f t="shared" si="5"/>
        <v>No</v>
      </c>
      <c r="L113" s="38" t="s">
        <v>110</v>
      </c>
      <c r="M113" s="1"/>
      <c r="N113" s="30"/>
      <c r="O113" s="31"/>
      <c r="P113" s="31"/>
      <c r="Q113" s="31"/>
      <c r="R113" s="31"/>
      <c r="S113" s="33"/>
    </row>
    <row r="114" spans="2:19" x14ac:dyDescent="0.2">
      <c r="B114" s="1"/>
      <c r="C114" s="16" t="s">
        <v>13</v>
      </c>
      <c r="D114" s="16" t="s">
        <v>87</v>
      </c>
      <c r="E114" s="16" t="s">
        <v>109</v>
      </c>
      <c r="F114" s="36">
        <v>44830</v>
      </c>
      <c r="G114" s="37">
        <v>2.9077412E-2</v>
      </c>
      <c r="H114" s="38" t="str">
        <f t="shared" si="3"/>
        <v>No</v>
      </c>
      <c r="I114" s="38" t="str">
        <f t="shared" si="4"/>
        <v>-</v>
      </c>
      <c r="J114" s="37">
        <v>0.21247079999999999</v>
      </c>
      <c r="K114" s="38" t="str">
        <f t="shared" si="5"/>
        <v>No</v>
      </c>
      <c r="L114" s="38" t="s">
        <v>110</v>
      </c>
      <c r="M114" s="1"/>
      <c r="N114" s="30"/>
      <c r="O114" s="31"/>
      <c r="P114" s="31"/>
      <c r="Q114" s="31"/>
      <c r="R114" s="31"/>
      <c r="S114" s="33"/>
    </row>
    <row r="115" spans="2:19" x14ac:dyDescent="0.2">
      <c r="B115" s="1"/>
      <c r="C115" s="16" t="s">
        <v>13</v>
      </c>
      <c r="D115" s="16" t="s">
        <v>88</v>
      </c>
      <c r="E115" s="16" t="s">
        <v>109</v>
      </c>
      <c r="F115" s="36">
        <v>44813</v>
      </c>
      <c r="G115" s="37">
        <v>8.7977393000000001E-2</v>
      </c>
      <c r="H115" s="38" t="str">
        <f t="shared" si="3"/>
        <v>No</v>
      </c>
      <c r="I115" s="38" t="str">
        <f t="shared" si="4"/>
        <v>-</v>
      </c>
      <c r="J115" s="37">
        <v>0.17837359999999999</v>
      </c>
      <c r="K115" s="38" t="str">
        <f t="shared" si="5"/>
        <v>No</v>
      </c>
      <c r="L115" s="38" t="s">
        <v>110</v>
      </c>
      <c r="M115" s="1"/>
      <c r="N115" s="30"/>
      <c r="O115" s="31"/>
      <c r="P115" s="31"/>
      <c r="Q115" s="31"/>
      <c r="R115" s="31"/>
      <c r="S115" s="33"/>
    </row>
    <row r="116" spans="2:19" x14ac:dyDescent="0.2">
      <c r="B116" s="1"/>
      <c r="C116" s="13" t="s">
        <v>13</v>
      </c>
      <c r="D116" s="13" t="s">
        <v>89</v>
      </c>
      <c r="E116" s="13" t="s">
        <v>109</v>
      </c>
      <c r="F116" s="39">
        <v>44802</v>
      </c>
      <c r="G116" s="40">
        <v>0.80191743699999996</v>
      </c>
      <c r="H116" s="28" t="str">
        <f t="shared" si="3"/>
        <v>Yes</v>
      </c>
      <c r="I116" s="28">
        <v>46</v>
      </c>
      <c r="J116" s="40">
        <v>0.5902309</v>
      </c>
      <c r="K116" s="28" t="str">
        <f t="shared" si="5"/>
        <v>Yes</v>
      </c>
      <c r="L116" s="28">
        <v>44</v>
      </c>
      <c r="M116" s="1"/>
      <c r="N116" s="30"/>
      <c r="O116" s="31"/>
      <c r="P116" s="31"/>
      <c r="Q116" s="31"/>
      <c r="R116" s="31"/>
      <c r="S116" s="33"/>
    </row>
    <row r="117" spans="2:19" x14ac:dyDescent="0.2">
      <c r="B117" s="1"/>
      <c r="C117" s="16" t="s">
        <v>13</v>
      </c>
      <c r="D117" s="16" t="s">
        <v>90</v>
      </c>
      <c r="E117" s="16" t="s">
        <v>109</v>
      </c>
      <c r="F117" s="36">
        <v>44851</v>
      </c>
      <c r="G117" s="37">
        <v>0.29724310799999998</v>
      </c>
      <c r="H117" s="38" t="str">
        <f t="shared" si="3"/>
        <v>No</v>
      </c>
      <c r="I117" s="38" t="str">
        <f t="shared" si="4"/>
        <v>-</v>
      </c>
      <c r="J117" s="37">
        <v>0.24078169999999999</v>
      </c>
      <c r="K117" s="38" t="str">
        <f t="shared" si="5"/>
        <v>No</v>
      </c>
      <c r="L117" s="38" t="s">
        <v>110</v>
      </c>
      <c r="M117" s="1"/>
      <c r="N117" s="30"/>
      <c r="O117" s="31"/>
      <c r="P117" s="31"/>
      <c r="Q117" s="31"/>
      <c r="R117" s="31"/>
      <c r="S117" s="33"/>
    </row>
    <row r="118" spans="2:19" x14ac:dyDescent="0.2">
      <c r="B118" s="1"/>
      <c r="C118" s="13" t="s">
        <v>13</v>
      </c>
      <c r="D118" s="13" t="s">
        <v>91</v>
      </c>
      <c r="E118" s="13" t="s">
        <v>109</v>
      </c>
      <c r="F118" s="39">
        <v>44889</v>
      </c>
      <c r="G118" s="40">
        <v>0.95168894000000004</v>
      </c>
      <c r="H118" s="28" t="str">
        <f t="shared" si="3"/>
        <v>Yes</v>
      </c>
      <c r="I118" s="28">
        <v>43</v>
      </c>
      <c r="J118" s="40">
        <v>0.83971709999999999</v>
      </c>
      <c r="K118" s="28" t="str">
        <f t="shared" si="5"/>
        <v>Yes</v>
      </c>
      <c r="L118" s="28">
        <v>47</v>
      </c>
      <c r="M118" s="1"/>
      <c r="N118" s="30"/>
      <c r="O118" s="31"/>
      <c r="P118" s="31"/>
      <c r="Q118" s="31"/>
      <c r="R118" s="31"/>
      <c r="S118" s="33"/>
    </row>
    <row r="119" spans="2:19" x14ac:dyDescent="0.2">
      <c r="B119" s="1"/>
      <c r="C119" s="16" t="s">
        <v>36</v>
      </c>
      <c r="D119" s="16" t="s">
        <v>103</v>
      </c>
      <c r="E119" s="16" t="s">
        <v>75</v>
      </c>
      <c r="F119" s="36">
        <v>44603</v>
      </c>
      <c r="G119" s="37">
        <v>4.9838583999999998E-2</v>
      </c>
      <c r="H119" s="38" t="str">
        <f t="shared" si="3"/>
        <v>No</v>
      </c>
      <c r="I119" s="38" t="str">
        <f t="shared" si="4"/>
        <v>-</v>
      </c>
      <c r="J119" s="37">
        <v>0.27775480000000002</v>
      </c>
      <c r="K119" s="38" t="str">
        <f t="shared" si="5"/>
        <v>No</v>
      </c>
      <c r="L119" s="38" t="s">
        <v>110</v>
      </c>
      <c r="M119" s="1"/>
      <c r="N119" s="30"/>
      <c r="O119" s="31"/>
      <c r="P119" s="31"/>
      <c r="Q119" s="31"/>
      <c r="R119" s="31"/>
      <c r="S119" s="33"/>
    </row>
    <row r="120" spans="2:19" x14ac:dyDescent="0.2">
      <c r="B120" s="1"/>
      <c r="C120" s="16" t="s">
        <v>36</v>
      </c>
      <c r="D120" s="16" t="s">
        <v>93</v>
      </c>
      <c r="E120" s="16" t="s">
        <v>75</v>
      </c>
      <c r="F120" s="36">
        <v>44683</v>
      </c>
      <c r="G120" s="37">
        <v>0.104651968</v>
      </c>
      <c r="H120" s="38" t="str">
        <f t="shared" si="3"/>
        <v>No</v>
      </c>
      <c r="I120" s="38" t="str">
        <f t="shared" si="4"/>
        <v>-</v>
      </c>
      <c r="J120" s="37">
        <v>0.33881640000000002</v>
      </c>
      <c r="K120" s="38" t="str">
        <f t="shared" si="5"/>
        <v>No</v>
      </c>
      <c r="L120" s="38" t="s">
        <v>110</v>
      </c>
      <c r="M120" s="1"/>
      <c r="N120" s="30"/>
      <c r="O120" s="31"/>
      <c r="P120" s="31"/>
      <c r="Q120" s="31"/>
      <c r="R120" s="31"/>
      <c r="S120" s="33"/>
    </row>
    <row r="121" spans="2:19" x14ac:dyDescent="0.2">
      <c r="B121" s="1"/>
      <c r="C121" s="16" t="s">
        <v>36</v>
      </c>
      <c r="D121" s="16" t="s">
        <v>94</v>
      </c>
      <c r="E121" s="16" t="s">
        <v>75</v>
      </c>
      <c r="F121" s="36">
        <v>44702</v>
      </c>
      <c r="G121" s="37">
        <v>6.6536175000000003E-2</v>
      </c>
      <c r="H121" s="38" t="str">
        <f t="shared" si="3"/>
        <v>No</v>
      </c>
      <c r="I121" s="38" t="str">
        <f t="shared" si="4"/>
        <v>-</v>
      </c>
      <c r="J121" s="37">
        <v>0.36404150000000002</v>
      </c>
      <c r="K121" s="38" t="str">
        <f t="shared" si="5"/>
        <v>No</v>
      </c>
      <c r="L121" s="38" t="s">
        <v>110</v>
      </c>
      <c r="M121" s="1"/>
      <c r="N121" s="30"/>
      <c r="O121" s="31"/>
      <c r="P121" s="31"/>
      <c r="Q121" s="31"/>
      <c r="R121" s="31"/>
      <c r="S121" s="33"/>
    </row>
    <row r="122" spans="2:19" x14ac:dyDescent="0.2">
      <c r="B122" s="1"/>
      <c r="C122" s="16" t="s">
        <v>36</v>
      </c>
      <c r="D122" s="16" t="s">
        <v>95</v>
      </c>
      <c r="E122" s="16" t="s">
        <v>75</v>
      </c>
      <c r="F122" s="36">
        <v>44692</v>
      </c>
      <c r="G122" s="37">
        <v>0.46704187000000003</v>
      </c>
      <c r="H122" s="38" t="str">
        <f t="shared" si="3"/>
        <v>No</v>
      </c>
      <c r="I122" s="38" t="str">
        <f t="shared" si="4"/>
        <v>-</v>
      </c>
      <c r="J122" s="37">
        <v>0.51162510000000005</v>
      </c>
      <c r="K122" s="38" t="str">
        <f t="shared" si="5"/>
        <v>Yes</v>
      </c>
      <c r="L122" s="38" t="s">
        <v>110</v>
      </c>
      <c r="M122" s="1"/>
      <c r="N122" s="30"/>
      <c r="O122" s="31"/>
      <c r="P122" s="31"/>
      <c r="Q122" s="31"/>
      <c r="R122" s="31"/>
      <c r="S122" s="33"/>
    </row>
    <row r="123" spans="2:19" x14ac:dyDescent="0.2">
      <c r="B123" s="1"/>
      <c r="C123" s="16" t="s">
        <v>36</v>
      </c>
      <c r="D123" s="16" t="s">
        <v>96</v>
      </c>
      <c r="E123" s="16" t="s">
        <v>75</v>
      </c>
      <c r="F123" s="36">
        <v>44713</v>
      </c>
      <c r="G123" s="37">
        <v>0.33245582499999998</v>
      </c>
      <c r="H123" s="38" t="str">
        <f t="shared" si="3"/>
        <v>No</v>
      </c>
      <c r="I123" s="38" t="str">
        <f t="shared" si="4"/>
        <v>-</v>
      </c>
      <c r="J123" s="37">
        <v>0.40160200000000001</v>
      </c>
      <c r="K123" s="38" t="str">
        <f t="shared" si="5"/>
        <v>No</v>
      </c>
      <c r="L123" s="38" t="s">
        <v>110</v>
      </c>
      <c r="M123" s="1"/>
      <c r="N123" s="30"/>
      <c r="O123" s="31"/>
      <c r="P123" s="31"/>
      <c r="Q123" s="31"/>
      <c r="R123" s="31"/>
      <c r="S123" s="33"/>
    </row>
    <row r="124" spans="2:19" x14ac:dyDescent="0.2">
      <c r="B124" s="1"/>
      <c r="C124" s="16" t="s">
        <v>36</v>
      </c>
      <c r="D124" s="16" t="s">
        <v>97</v>
      </c>
      <c r="E124" s="16" t="s">
        <v>75</v>
      </c>
      <c r="F124" s="36">
        <v>44707</v>
      </c>
      <c r="G124" s="37">
        <v>0.11285449</v>
      </c>
      <c r="H124" s="38" t="str">
        <f t="shared" si="3"/>
        <v>No</v>
      </c>
      <c r="I124" s="38" t="str">
        <f t="shared" si="4"/>
        <v>-</v>
      </c>
      <c r="J124" s="37">
        <v>0.46094269999999998</v>
      </c>
      <c r="K124" s="38" t="str">
        <f t="shared" si="5"/>
        <v>No</v>
      </c>
      <c r="L124" s="38" t="s">
        <v>110</v>
      </c>
      <c r="M124" s="1"/>
      <c r="N124" s="30"/>
      <c r="O124" s="31"/>
      <c r="P124" s="31"/>
      <c r="Q124" s="31"/>
      <c r="R124" s="31"/>
      <c r="S124" s="33"/>
    </row>
    <row r="125" spans="2:19" x14ac:dyDescent="0.2">
      <c r="B125" s="1"/>
      <c r="C125" s="16" t="s">
        <v>36</v>
      </c>
      <c r="D125" s="16" t="s">
        <v>98</v>
      </c>
      <c r="E125" s="16" t="s">
        <v>75</v>
      </c>
      <c r="F125" s="36">
        <v>44690</v>
      </c>
      <c r="G125" s="37">
        <v>0.182534791</v>
      </c>
      <c r="H125" s="38" t="str">
        <f t="shared" si="3"/>
        <v>No</v>
      </c>
      <c r="I125" s="38" t="str">
        <f t="shared" si="4"/>
        <v>-</v>
      </c>
      <c r="J125" s="37">
        <v>0.21497150000000001</v>
      </c>
      <c r="K125" s="38" t="str">
        <f t="shared" si="5"/>
        <v>No</v>
      </c>
      <c r="L125" s="38" t="s">
        <v>110</v>
      </c>
      <c r="M125" s="1"/>
      <c r="N125" s="30"/>
      <c r="O125" s="31"/>
      <c r="P125" s="31"/>
      <c r="Q125" s="31"/>
      <c r="R125" s="31"/>
      <c r="S125" s="33"/>
    </row>
    <row r="126" spans="2:19" x14ac:dyDescent="0.2">
      <c r="B126" s="1"/>
      <c r="C126" s="16" t="s">
        <v>36</v>
      </c>
      <c r="D126" s="16" t="s">
        <v>99</v>
      </c>
      <c r="E126" s="16" t="s">
        <v>75</v>
      </c>
      <c r="F126" s="36">
        <v>44727</v>
      </c>
      <c r="G126" s="37">
        <v>5.132333E-2</v>
      </c>
      <c r="H126" s="38" t="str">
        <f t="shared" si="3"/>
        <v>No</v>
      </c>
      <c r="I126" s="38" t="str">
        <f t="shared" si="4"/>
        <v>-</v>
      </c>
      <c r="J126" s="37">
        <v>0.21677779999999999</v>
      </c>
      <c r="K126" s="38" t="str">
        <f t="shared" si="5"/>
        <v>No</v>
      </c>
      <c r="L126" s="38" t="s">
        <v>110</v>
      </c>
      <c r="M126" s="1"/>
      <c r="N126" s="30"/>
      <c r="O126" s="31"/>
      <c r="P126" s="31"/>
      <c r="Q126" s="31"/>
      <c r="R126" s="31"/>
      <c r="S126" s="33"/>
    </row>
    <row r="127" spans="2:19" x14ac:dyDescent="0.2">
      <c r="B127" s="1"/>
      <c r="C127" s="16" t="s">
        <v>36</v>
      </c>
      <c r="D127" s="16" t="s">
        <v>100</v>
      </c>
      <c r="E127" s="16" t="s">
        <v>75</v>
      </c>
      <c r="F127" s="36">
        <v>44750</v>
      </c>
      <c r="G127" s="37">
        <v>0.20507064999999999</v>
      </c>
      <c r="H127" s="38" t="str">
        <f t="shared" si="3"/>
        <v>No</v>
      </c>
      <c r="I127" s="38" t="str">
        <f t="shared" si="4"/>
        <v>-</v>
      </c>
      <c r="J127" s="37">
        <v>0.16098390000000001</v>
      </c>
      <c r="K127" s="38" t="str">
        <f t="shared" si="5"/>
        <v>No</v>
      </c>
      <c r="L127" s="38" t="s">
        <v>110</v>
      </c>
      <c r="M127" s="1"/>
      <c r="N127" s="30"/>
      <c r="O127" s="31"/>
      <c r="P127" s="31"/>
      <c r="Q127" s="31"/>
      <c r="R127" s="31"/>
      <c r="S127" s="33"/>
    </row>
    <row r="128" spans="2:19" x14ac:dyDescent="0.2">
      <c r="B128" s="1"/>
      <c r="C128" s="16" t="s">
        <v>36</v>
      </c>
      <c r="D128" s="16" t="s">
        <v>87</v>
      </c>
      <c r="E128" s="16" t="s">
        <v>75</v>
      </c>
      <c r="F128" s="36">
        <v>44841</v>
      </c>
      <c r="G128" s="37">
        <v>4.9031264999999997E-2</v>
      </c>
      <c r="H128" s="38" t="str">
        <f t="shared" si="3"/>
        <v>No</v>
      </c>
      <c r="I128" s="38" t="str">
        <f t="shared" si="4"/>
        <v>-</v>
      </c>
      <c r="J128" s="37">
        <v>0.24101729999999999</v>
      </c>
      <c r="K128" s="38" t="str">
        <f t="shared" si="5"/>
        <v>No</v>
      </c>
      <c r="L128" s="38" t="s">
        <v>110</v>
      </c>
      <c r="M128" s="1"/>
      <c r="N128" s="30"/>
      <c r="O128" s="31"/>
      <c r="P128" s="31"/>
      <c r="Q128" s="31"/>
      <c r="R128" s="31"/>
      <c r="S128" s="33"/>
    </row>
    <row r="129" spans="2:19" x14ac:dyDescent="0.2">
      <c r="B129" s="1"/>
      <c r="C129" s="16" t="s">
        <v>36</v>
      </c>
      <c r="D129" s="16" t="s">
        <v>88</v>
      </c>
      <c r="E129" s="16" t="s">
        <v>75</v>
      </c>
      <c r="F129" s="36">
        <v>44816</v>
      </c>
      <c r="G129" s="37">
        <v>0.21809721900000001</v>
      </c>
      <c r="H129" s="38" t="str">
        <f t="shared" si="3"/>
        <v>No</v>
      </c>
      <c r="I129" s="38" t="str">
        <f t="shared" si="4"/>
        <v>-</v>
      </c>
      <c r="J129" s="37">
        <v>0.25839800000000002</v>
      </c>
      <c r="K129" s="38" t="str">
        <f t="shared" si="5"/>
        <v>No</v>
      </c>
      <c r="L129" s="38" t="s">
        <v>110</v>
      </c>
      <c r="M129" s="1"/>
      <c r="N129" s="30"/>
      <c r="O129" s="31"/>
      <c r="P129" s="31"/>
      <c r="Q129" s="31"/>
      <c r="R129" s="31"/>
      <c r="S129" s="33"/>
    </row>
    <row r="130" spans="2:19" x14ac:dyDescent="0.2">
      <c r="B130" s="1"/>
      <c r="C130" s="13" t="s">
        <v>36</v>
      </c>
      <c r="D130" s="13" t="s">
        <v>89</v>
      </c>
      <c r="E130" s="13" t="s">
        <v>75</v>
      </c>
      <c r="F130" s="39">
        <v>44820</v>
      </c>
      <c r="G130" s="40">
        <v>0.603759465</v>
      </c>
      <c r="H130" s="28" t="str">
        <f t="shared" si="3"/>
        <v>Yes</v>
      </c>
      <c r="I130" s="28">
        <v>62</v>
      </c>
      <c r="J130" s="40">
        <v>0.35714240000000003</v>
      </c>
      <c r="K130" s="28" t="str">
        <f t="shared" si="5"/>
        <v>No</v>
      </c>
      <c r="L130" s="28">
        <v>50</v>
      </c>
      <c r="M130" s="1"/>
      <c r="N130" s="30"/>
      <c r="O130" s="31"/>
      <c r="P130" s="31"/>
      <c r="Q130" s="31"/>
      <c r="R130" s="31"/>
      <c r="S130" s="33"/>
    </row>
    <row r="131" spans="2:19" x14ac:dyDescent="0.2">
      <c r="B131" s="1"/>
      <c r="C131" s="16" t="s">
        <v>36</v>
      </c>
      <c r="D131" s="16" t="s">
        <v>90</v>
      </c>
      <c r="E131" s="16" t="s">
        <v>75</v>
      </c>
      <c r="F131" s="36">
        <v>44852</v>
      </c>
      <c r="G131" s="37">
        <v>0.33214285700000001</v>
      </c>
      <c r="H131" s="38" t="str">
        <f t="shared" si="3"/>
        <v>No</v>
      </c>
      <c r="I131" s="38" t="str">
        <f t="shared" si="4"/>
        <v>-</v>
      </c>
      <c r="J131" s="37">
        <v>0.39214860000000001</v>
      </c>
      <c r="K131" s="38" t="str">
        <f t="shared" si="5"/>
        <v>No</v>
      </c>
      <c r="L131" s="38" t="s">
        <v>110</v>
      </c>
      <c r="M131" s="1"/>
      <c r="N131" s="30"/>
      <c r="O131" s="31"/>
      <c r="P131" s="31"/>
      <c r="Q131" s="31"/>
      <c r="R131" s="31"/>
      <c r="S131" s="33"/>
    </row>
    <row r="132" spans="2:19" x14ac:dyDescent="0.2">
      <c r="B132" s="1"/>
      <c r="C132" s="13" t="s">
        <v>36</v>
      </c>
      <c r="D132" s="13" t="s">
        <v>91</v>
      </c>
      <c r="E132" s="13" t="s">
        <v>75</v>
      </c>
      <c r="F132" s="39">
        <v>44914</v>
      </c>
      <c r="G132" s="40">
        <v>0.94361083899999998</v>
      </c>
      <c r="H132" s="28" t="str">
        <f t="shared" si="3"/>
        <v>Yes</v>
      </c>
      <c r="I132" s="28">
        <v>47</v>
      </c>
      <c r="J132" s="40">
        <v>0.71101720000000002</v>
      </c>
      <c r="K132" s="28" t="str">
        <f t="shared" si="5"/>
        <v>Yes</v>
      </c>
      <c r="L132" s="28">
        <v>42</v>
      </c>
      <c r="M132" s="1"/>
      <c r="N132" s="30"/>
      <c r="O132" s="31"/>
      <c r="P132" s="31"/>
      <c r="Q132" s="31"/>
      <c r="R132" s="31"/>
      <c r="S132" s="33"/>
    </row>
    <row r="133" spans="2:19" x14ac:dyDescent="0.2">
      <c r="B133" s="1"/>
      <c r="C133" s="13" t="s">
        <v>35</v>
      </c>
      <c r="D133" s="13" t="s">
        <v>105</v>
      </c>
      <c r="E133" s="13" t="s">
        <v>74</v>
      </c>
      <c r="F133" s="39">
        <v>44562</v>
      </c>
      <c r="G133" s="40">
        <v>0.70529016899999997</v>
      </c>
      <c r="H133" s="28" t="str">
        <f t="shared" si="3"/>
        <v>Yes</v>
      </c>
      <c r="I133" s="28">
        <v>46</v>
      </c>
      <c r="J133" s="40">
        <v>0.52210049999999997</v>
      </c>
      <c r="K133" s="28" t="str">
        <f t="shared" si="5"/>
        <v>Yes</v>
      </c>
      <c r="L133" s="28">
        <v>36</v>
      </c>
      <c r="M133" s="1"/>
      <c r="N133" s="30"/>
      <c r="O133" s="31"/>
      <c r="P133" s="31"/>
      <c r="Q133" s="31"/>
      <c r="R133" s="31"/>
      <c r="S133" s="33"/>
    </row>
    <row r="134" spans="2:19" x14ac:dyDescent="0.2">
      <c r="B134" s="1"/>
      <c r="C134" s="16" t="s">
        <v>35</v>
      </c>
      <c r="D134" s="16" t="s">
        <v>103</v>
      </c>
      <c r="E134" s="16" t="s">
        <v>74</v>
      </c>
      <c r="F134" s="36">
        <v>44589</v>
      </c>
      <c r="G134" s="37">
        <v>9.6010477999999996E-2</v>
      </c>
      <c r="H134" s="38" t="str">
        <f t="shared" si="3"/>
        <v>No</v>
      </c>
      <c r="I134" s="38" t="str">
        <f t="shared" si="4"/>
        <v>-</v>
      </c>
      <c r="J134" s="37">
        <v>0.1960945</v>
      </c>
      <c r="K134" s="38" t="str">
        <f t="shared" si="5"/>
        <v>No</v>
      </c>
      <c r="L134" s="38" t="s">
        <v>110</v>
      </c>
      <c r="M134" s="1"/>
      <c r="N134" s="30"/>
      <c r="O134" s="31"/>
      <c r="P134" s="31"/>
      <c r="Q134" s="31"/>
      <c r="R134" s="31"/>
      <c r="S134" s="33"/>
    </row>
    <row r="135" spans="2:19" x14ac:dyDescent="0.2">
      <c r="B135" s="1"/>
      <c r="C135" s="16" t="s">
        <v>35</v>
      </c>
      <c r="D135" s="16" t="s">
        <v>92</v>
      </c>
      <c r="E135" s="16" t="s">
        <v>74</v>
      </c>
      <c r="F135" s="36">
        <v>44578</v>
      </c>
      <c r="G135" s="37">
        <v>0.22109847599999999</v>
      </c>
      <c r="H135" s="38" t="str">
        <f t="shared" si="3"/>
        <v>No</v>
      </c>
      <c r="I135" s="38" t="str">
        <f t="shared" si="4"/>
        <v>-</v>
      </c>
      <c r="J135" s="37">
        <v>0.29738969999999998</v>
      </c>
      <c r="K135" s="38" t="str">
        <f t="shared" si="5"/>
        <v>No</v>
      </c>
      <c r="L135" s="38" t="s">
        <v>110</v>
      </c>
      <c r="M135" s="1"/>
      <c r="N135" s="30"/>
      <c r="O135" s="31"/>
      <c r="P135" s="31"/>
      <c r="Q135" s="31"/>
      <c r="R135" s="31"/>
      <c r="S135" s="33"/>
    </row>
    <row r="136" spans="2:19" x14ac:dyDescent="0.2">
      <c r="B136" s="1"/>
      <c r="C136" s="16" t="s">
        <v>35</v>
      </c>
      <c r="D136" s="16" t="s">
        <v>93</v>
      </c>
      <c r="E136" s="16" t="s">
        <v>74</v>
      </c>
      <c r="F136" s="36">
        <v>44676</v>
      </c>
      <c r="G136" s="37">
        <v>8.4562678000000002E-2</v>
      </c>
      <c r="H136" s="38" t="str">
        <f t="shared" si="3"/>
        <v>No</v>
      </c>
      <c r="I136" s="38" t="str">
        <f t="shared" si="4"/>
        <v>-</v>
      </c>
      <c r="J136" s="37">
        <v>0.23888400000000001</v>
      </c>
      <c r="K136" s="38" t="str">
        <f t="shared" si="5"/>
        <v>No</v>
      </c>
      <c r="L136" s="38" t="s">
        <v>110</v>
      </c>
      <c r="M136" s="1"/>
      <c r="N136" s="30"/>
      <c r="O136" s="31"/>
      <c r="P136" s="31"/>
      <c r="Q136" s="31"/>
      <c r="R136" s="31"/>
      <c r="S136" s="33"/>
    </row>
    <row r="137" spans="2:19" x14ac:dyDescent="0.2">
      <c r="B137" s="1"/>
      <c r="C137" s="16" t="s">
        <v>35</v>
      </c>
      <c r="D137" s="16" t="s">
        <v>94</v>
      </c>
      <c r="E137" s="16" t="s">
        <v>74</v>
      </c>
      <c r="F137" s="36">
        <v>44687</v>
      </c>
      <c r="G137" s="37">
        <v>5.7237743000000001E-2</v>
      </c>
      <c r="H137" s="38" t="str">
        <f t="shared" ref="H137:H200" si="6">IF(G137&gt;0.5, "Yes", "No")</f>
        <v>No</v>
      </c>
      <c r="I137" s="38" t="str">
        <f t="shared" ref="I137:I200" si="7">IF(H137="No", "-", "")</f>
        <v>-</v>
      </c>
      <c r="J137" s="37">
        <v>0.1707071</v>
      </c>
      <c r="K137" s="38" t="str">
        <f t="shared" ref="K137:K200" si="8">IF(J137&gt;0.5, "Yes", "No")</f>
        <v>No</v>
      </c>
      <c r="L137" s="38" t="s">
        <v>110</v>
      </c>
      <c r="M137" s="1"/>
      <c r="N137" s="30"/>
      <c r="O137" s="31"/>
      <c r="P137" s="31"/>
      <c r="Q137" s="31"/>
      <c r="R137" s="31"/>
      <c r="S137" s="33"/>
    </row>
    <row r="138" spans="2:19" x14ac:dyDescent="0.2">
      <c r="B138" s="1"/>
      <c r="C138" s="13" t="s">
        <v>35</v>
      </c>
      <c r="D138" s="13" t="s">
        <v>95</v>
      </c>
      <c r="E138" s="13" t="s">
        <v>74</v>
      </c>
      <c r="F138" s="39">
        <v>44673</v>
      </c>
      <c r="G138" s="40">
        <v>0.62438596099999999</v>
      </c>
      <c r="H138" s="28" t="str">
        <f t="shared" si="6"/>
        <v>Yes</v>
      </c>
      <c r="I138" s="28">
        <v>41</v>
      </c>
      <c r="J138" s="40">
        <v>0.62852669999999999</v>
      </c>
      <c r="K138" s="28" t="str">
        <f t="shared" si="8"/>
        <v>Yes</v>
      </c>
      <c r="L138" s="28">
        <v>36</v>
      </c>
      <c r="M138" s="1"/>
      <c r="N138" s="30"/>
      <c r="O138" s="31"/>
      <c r="P138" s="31"/>
      <c r="Q138" s="31"/>
      <c r="R138" s="31"/>
      <c r="S138" s="33"/>
    </row>
    <row r="139" spans="2:19" x14ac:dyDescent="0.2">
      <c r="B139" s="1"/>
      <c r="C139" s="16" t="s">
        <v>35</v>
      </c>
      <c r="D139" s="16" t="s">
        <v>96</v>
      </c>
      <c r="E139" s="16" t="s">
        <v>74</v>
      </c>
      <c r="F139" s="36">
        <v>44701</v>
      </c>
      <c r="G139" s="37">
        <v>0.23072008799999999</v>
      </c>
      <c r="H139" s="38" t="str">
        <f t="shared" si="6"/>
        <v>No</v>
      </c>
      <c r="I139" s="38" t="str">
        <f t="shared" si="7"/>
        <v>-</v>
      </c>
      <c r="J139" s="37">
        <v>0.2490821</v>
      </c>
      <c r="K139" s="38" t="str">
        <f t="shared" si="8"/>
        <v>No</v>
      </c>
      <c r="L139" s="38" t="s">
        <v>110</v>
      </c>
      <c r="M139" s="1"/>
      <c r="N139" s="30"/>
      <c r="O139" s="31"/>
      <c r="P139" s="31"/>
      <c r="Q139" s="31"/>
      <c r="R139" s="31"/>
      <c r="S139" s="33"/>
    </row>
    <row r="140" spans="2:19" x14ac:dyDescent="0.2">
      <c r="B140" s="1"/>
      <c r="C140" s="16" t="s">
        <v>35</v>
      </c>
      <c r="D140" s="16" t="s">
        <v>97</v>
      </c>
      <c r="E140" s="16" t="s">
        <v>74</v>
      </c>
      <c r="F140" s="36">
        <v>44702</v>
      </c>
      <c r="G140" s="37">
        <v>8.2983643999999995E-2</v>
      </c>
      <c r="H140" s="38" t="str">
        <f t="shared" si="6"/>
        <v>No</v>
      </c>
      <c r="I140" s="38" t="str">
        <f t="shared" si="7"/>
        <v>-</v>
      </c>
      <c r="J140" s="37">
        <v>0.21447240000000001</v>
      </c>
      <c r="K140" s="38" t="str">
        <f t="shared" si="8"/>
        <v>No</v>
      </c>
      <c r="L140" s="38" t="s">
        <v>110</v>
      </c>
      <c r="M140" s="1"/>
      <c r="N140" s="30"/>
      <c r="O140" s="31"/>
      <c r="P140" s="31"/>
      <c r="Q140" s="31"/>
      <c r="R140" s="31"/>
      <c r="S140" s="33"/>
    </row>
    <row r="141" spans="2:19" x14ac:dyDescent="0.2">
      <c r="B141" s="1"/>
      <c r="C141" s="16" t="s">
        <v>35</v>
      </c>
      <c r="D141" s="16" t="s">
        <v>98</v>
      </c>
      <c r="E141" s="16" t="s">
        <v>74</v>
      </c>
      <c r="F141" s="36">
        <v>44685</v>
      </c>
      <c r="G141" s="37">
        <v>0.177746661</v>
      </c>
      <c r="H141" s="38" t="str">
        <f t="shared" si="6"/>
        <v>No</v>
      </c>
      <c r="I141" s="38" t="str">
        <f t="shared" si="7"/>
        <v>-</v>
      </c>
      <c r="J141" s="37">
        <v>0.2096587</v>
      </c>
      <c r="K141" s="38" t="str">
        <f t="shared" si="8"/>
        <v>No</v>
      </c>
      <c r="L141" s="38" t="s">
        <v>110</v>
      </c>
      <c r="M141" s="1"/>
      <c r="N141" s="30"/>
      <c r="O141" s="31"/>
      <c r="P141" s="31"/>
      <c r="Q141" s="31"/>
      <c r="R141" s="31"/>
      <c r="S141" s="33"/>
    </row>
    <row r="142" spans="2:19" x14ac:dyDescent="0.2">
      <c r="B142" s="1"/>
      <c r="C142" s="16" t="s">
        <v>35</v>
      </c>
      <c r="D142" s="16" t="s">
        <v>99</v>
      </c>
      <c r="E142" s="16" t="s">
        <v>74</v>
      </c>
      <c r="F142" s="36">
        <v>44730</v>
      </c>
      <c r="G142" s="37">
        <v>4.5487970000000003E-2</v>
      </c>
      <c r="H142" s="38" t="str">
        <f t="shared" si="6"/>
        <v>No</v>
      </c>
      <c r="I142" s="38" t="str">
        <f t="shared" si="7"/>
        <v>-</v>
      </c>
      <c r="J142" s="37">
        <v>0.16824210000000001</v>
      </c>
      <c r="K142" s="38" t="str">
        <f t="shared" si="8"/>
        <v>No</v>
      </c>
      <c r="L142" s="38" t="s">
        <v>110</v>
      </c>
      <c r="M142" s="1"/>
      <c r="N142" s="30"/>
      <c r="O142" s="31"/>
      <c r="P142" s="31"/>
      <c r="Q142" s="31"/>
      <c r="R142" s="31"/>
      <c r="S142" s="33"/>
    </row>
    <row r="143" spans="2:19" x14ac:dyDescent="0.2">
      <c r="B143" s="1"/>
      <c r="C143" s="16" t="s">
        <v>35</v>
      </c>
      <c r="D143" s="16" t="s">
        <v>100</v>
      </c>
      <c r="E143" s="16" t="s">
        <v>74</v>
      </c>
      <c r="F143" s="36">
        <v>44744</v>
      </c>
      <c r="G143" s="37">
        <v>0.135917549</v>
      </c>
      <c r="H143" s="38" t="str">
        <f t="shared" si="6"/>
        <v>No</v>
      </c>
      <c r="I143" s="38" t="str">
        <f t="shared" si="7"/>
        <v>-</v>
      </c>
      <c r="J143" s="37">
        <v>0.20828350000000001</v>
      </c>
      <c r="K143" s="38" t="str">
        <f t="shared" si="8"/>
        <v>No</v>
      </c>
      <c r="L143" s="38" t="s">
        <v>110</v>
      </c>
      <c r="M143" s="1"/>
      <c r="N143" s="30"/>
      <c r="O143" s="31"/>
      <c r="P143" s="31"/>
      <c r="Q143" s="31"/>
      <c r="R143" s="31"/>
      <c r="S143" s="33"/>
    </row>
    <row r="144" spans="2:19" x14ac:dyDescent="0.2">
      <c r="B144" s="1"/>
      <c r="C144" s="16" t="s">
        <v>35</v>
      </c>
      <c r="D144" s="16" t="s">
        <v>86</v>
      </c>
      <c r="E144" s="16" t="s">
        <v>74</v>
      </c>
      <c r="F144" s="36">
        <v>44670</v>
      </c>
      <c r="G144" s="37">
        <v>4.0829486999999998E-2</v>
      </c>
      <c r="H144" s="38" t="str">
        <f t="shared" si="6"/>
        <v>No</v>
      </c>
      <c r="I144" s="38" t="str">
        <f t="shared" si="7"/>
        <v>-</v>
      </c>
      <c r="J144" s="37">
        <v>0.22578309999999999</v>
      </c>
      <c r="K144" s="38" t="str">
        <f t="shared" si="8"/>
        <v>No</v>
      </c>
      <c r="L144" s="38" t="s">
        <v>110</v>
      </c>
      <c r="M144" s="1"/>
      <c r="N144" s="30"/>
      <c r="O144" s="31"/>
      <c r="P144" s="31"/>
      <c r="Q144" s="31"/>
      <c r="R144" s="31"/>
      <c r="S144" s="33"/>
    </row>
    <row r="145" spans="2:19" x14ac:dyDescent="0.2">
      <c r="B145" s="1"/>
      <c r="C145" s="16" t="s">
        <v>35</v>
      </c>
      <c r="D145" s="16" t="s">
        <v>88</v>
      </c>
      <c r="E145" s="16" t="s">
        <v>74</v>
      </c>
      <c r="F145" s="36">
        <v>44824</v>
      </c>
      <c r="G145" s="37">
        <v>0.144177414</v>
      </c>
      <c r="H145" s="38" t="str">
        <f t="shared" si="6"/>
        <v>No</v>
      </c>
      <c r="I145" s="38" t="str">
        <f t="shared" si="7"/>
        <v>-</v>
      </c>
      <c r="J145" s="37">
        <v>0.36800430000000001</v>
      </c>
      <c r="K145" s="38" t="str">
        <f t="shared" si="8"/>
        <v>No</v>
      </c>
      <c r="L145" s="38" t="s">
        <v>110</v>
      </c>
      <c r="M145" s="1"/>
      <c r="N145" s="30"/>
      <c r="O145" s="31"/>
      <c r="P145" s="31"/>
      <c r="Q145" s="31"/>
      <c r="R145" s="31"/>
      <c r="S145" s="33"/>
    </row>
    <row r="146" spans="2:19" x14ac:dyDescent="0.2">
      <c r="B146" s="1"/>
      <c r="C146" s="13" t="s">
        <v>35</v>
      </c>
      <c r="D146" s="13" t="s">
        <v>89</v>
      </c>
      <c r="E146" s="13" t="s">
        <v>74</v>
      </c>
      <c r="F146" s="39">
        <v>44816</v>
      </c>
      <c r="G146" s="40">
        <v>0.80940334899999999</v>
      </c>
      <c r="H146" s="28" t="str">
        <f t="shared" si="6"/>
        <v>Yes</v>
      </c>
      <c r="I146" s="28">
        <v>45</v>
      </c>
      <c r="J146" s="40">
        <v>0.59327819999999998</v>
      </c>
      <c r="K146" s="28" t="str">
        <f t="shared" si="8"/>
        <v>Yes</v>
      </c>
      <c r="L146" s="28">
        <v>42</v>
      </c>
      <c r="M146" s="1"/>
      <c r="N146" s="30"/>
      <c r="O146" s="31"/>
      <c r="P146" s="31"/>
      <c r="Q146" s="31"/>
      <c r="R146" s="31"/>
      <c r="S146" s="33"/>
    </row>
    <row r="147" spans="2:19" x14ac:dyDescent="0.2">
      <c r="B147" s="1"/>
      <c r="C147" s="16" t="s">
        <v>35</v>
      </c>
      <c r="D147" s="16" t="s">
        <v>90</v>
      </c>
      <c r="E147" s="16" t="s">
        <v>74</v>
      </c>
      <c r="F147" s="36">
        <v>44874</v>
      </c>
      <c r="G147" s="37">
        <v>0.215050721</v>
      </c>
      <c r="H147" s="38" t="str">
        <f t="shared" si="6"/>
        <v>No</v>
      </c>
      <c r="I147" s="38" t="str">
        <f t="shared" si="7"/>
        <v>-</v>
      </c>
      <c r="J147" s="37">
        <v>0.2016413</v>
      </c>
      <c r="K147" s="38" t="str">
        <f t="shared" si="8"/>
        <v>No</v>
      </c>
      <c r="L147" s="38" t="s">
        <v>110</v>
      </c>
      <c r="M147" s="1"/>
      <c r="N147" s="30"/>
      <c r="O147" s="31"/>
      <c r="P147" s="31"/>
      <c r="Q147" s="31"/>
      <c r="R147" s="31"/>
      <c r="S147" s="33"/>
    </row>
    <row r="148" spans="2:19" x14ac:dyDescent="0.2">
      <c r="B148" s="1"/>
      <c r="C148" s="13" t="s">
        <v>35</v>
      </c>
      <c r="D148" s="13" t="s">
        <v>91</v>
      </c>
      <c r="E148" s="13" t="s">
        <v>74</v>
      </c>
      <c r="F148" s="39">
        <v>44912</v>
      </c>
      <c r="G148" s="40">
        <v>0.96196835800000002</v>
      </c>
      <c r="H148" s="28" t="str">
        <f t="shared" si="6"/>
        <v>Yes</v>
      </c>
      <c r="I148" s="28">
        <v>38</v>
      </c>
      <c r="J148" s="40">
        <v>0.77540770000000003</v>
      </c>
      <c r="K148" s="28" t="str">
        <f t="shared" si="8"/>
        <v>Yes</v>
      </c>
      <c r="L148" s="28">
        <v>41</v>
      </c>
      <c r="M148" s="1"/>
      <c r="N148" s="30"/>
      <c r="O148" s="31"/>
      <c r="P148" s="31"/>
      <c r="Q148" s="31"/>
      <c r="R148" s="31"/>
      <c r="S148" s="33"/>
    </row>
    <row r="149" spans="2:19" x14ac:dyDescent="0.2">
      <c r="B149" s="1"/>
      <c r="C149" s="16" t="s">
        <v>5</v>
      </c>
      <c r="D149" s="16" t="s">
        <v>105</v>
      </c>
      <c r="E149" s="16" t="s">
        <v>74</v>
      </c>
      <c r="F149" s="36">
        <v>44567</v>
      </c>
      <c r="G149" s="37">
        <v>0.79804245500000004</v>
      </c>
      <c r="H149" s="38" t="str">
        <f t="shared" si="6"/>
        <v>Yes</v>
      </c>
      <c r="I149" s="38">
        <v>49</v>
      </c>
      <c r="J149" s="37">
        <v>0.17951719999999999</v>
      </c>
      <c r="K149" s="38" t="str">
        <f t="shared" si="8"/>
        <v>No</v>
      </c>
      <c r="L149" s="38" t="s">
        <v>110</v>
      </c>
      <c r="M149" s="1"/>
      <c r="N149" s="30"/>
      <c r="O149" s="31"/>
      <c r="P149" s="31"/>
      <c r="Q149" s="31"/>
      <c r="R149" s="31"/>
      <c r="S149" s="33"/>
    </row>
    <row r="150" spans="2:19" x14ac:dyDescent="0.2">
      <c r="B150" s="1"/>
      <c r="C150" s="16" t="s">
        <v>5</v>
      </c>
      <c r="D150" s="16" t="s">
        <v>103</v>
      </c>
      <c r="E150" s="16" t="s">
        <v>74</v>
      </c>
      <c r="F150" s="36">
        <v>44650</v>
      </c>
      <c r="G150" s="37">
        <v>3.5560418000000003E-2</v>
      </c>
      <c r="H150" s="38" t="str">
        <f t="shared" si="6"/>
        <v>No</v>
      </c>
      <c r="I150" s="38" t="str">
        <f t="shared" si="7"/>
        <v>-</v>
      </c>
      <c r="J150" s="37">
        <v>0.2629127</v>
      </c>
      <c r="K150" s="38" t="str">
        <f t="shared" si="8"/>
        <v>No</v>
      </c>
      <c r="L150" s="38" t="s">
        <v>110</v>
      </c>
      <c r="M150" s="1"/>
      <c r="N150" s="30"/>
      <c r="O150" s="31"/>
      <c r="P150" s="31"/>
      <c r="Q150" s="31"/>
      <c r="R150" s="31"/>
      <c r="S150" s="33"/>
    </row>
    <row r="151" spans="2:19" x14ac:dyDescent="0.2">
      <c r="B151" s="1"/>
      <c r="C151" s="16" t="s">
        <v>5</v>
      </c>
      <c r="D151" s="16" t="s">
        <v>92</v>
      </c>
      <c r="E151" s="16" t="s">
        <v>74</v>
      </c>
      <c r="F151" s="36">
        <v>44622</v>
      </c>
      <c r="G151" s="37">
        <v>0.101789174</v>
      </c>
      <c r="H151" s="38" t="str">
        <f t="shared" si="6"/>
        <v>No</v>
      </c>
      <c r="I151" s="38" t="str">
        <f t="shared" si="7"/>
        <v>-</v>
      </c>
      <c r="J151" s="37">
        <v>0.33759489999999998</v>
      </c>
      <c r="K151" s="38" t="str">
        <f t="shared" si="8"/>
        <v>No</v>
      </c>
      <c r="L151" s="38" t="s">
        <v>110</v>
      </c>
      <c r="M151" s="1"/>
      <c r="N151" s="30"/>
      <c r="O151" s="31"/>
      <c r="P151" s="31"/>
      <c r="Q151" s="31"/>
      <c r="R151" s="31"/>
      <c r="S151" s="33"/>
    </row>
    <row r="152" spans="2:19" x14ac:dyDescent="0.2">
      <c r="B152" s="1"/>
      <c r="C152" s="16" t="s">
        <v>5</v>
      </c>
      <c r="D152" s="16" t="s">
        <v>93</v>
      </c>
      <c r="E152" s="16" t="s">
        <v>74</v>
      </c>
      <c r="F152" s="36">
        <v>44678</v>
      </c>
      <c r="G152" s="37">
        <v>0.34164371599999999</v>
      </c>
      <c r="H152" s="38" t="str">
        <f t="shared" si="6"/>
        <v>No</v>
      </c>
      <c r="I152" s="38" t="str">
        <f t="shared" si="7"/>
        <v>-</v>
      </c>
      <c r="J152" s="37">
        <v>0.27824339999999997</v>
      </c>
      <c r="K152" s="38" t="str">
        <f t="shared" si="8"/>
        <v>No</v>
      </c>
      <c r="L152" s="38" t="s">
        <v>110</v>
      </c>
      <c r="M152" s="1"/>
      <c r="N152" s="30"/>
      <c r="O152" s="31"/>
      <c r="P152" s="31"/>
      <c r="Q152" s="31"/>
      <c r="R152" s="31"/>
      <c r="S152" s="33"/>
    </row>
    <row r="153" spans="2:19" x14ac:dyDescent="0.2">
      <c r="B153" s="1"/>
      <c r="C153" s="16" t="s">
        <v>5</v>
      </c>
      <c r="D153" s="16" t="s">
        <v>94</v>
      </c>
      <c r="E153" s="16" t="s">
        <v>74</v>
      </c>
      <c r="F153" s="36">
        <v>44711</v>
      </c>
      <c r="G153" s="37">
        <v>5.8028211000000003E-2</v>
      </c>
      <c r="H153" s="38" t="str">
        <f t="shared" si="6"/>
        <v>No</v>
      </c>
      <c r="I153" s="38" t="str">
        <f t="shared" si="7"/>
        <v>-</v>
      </c>
      <c r="J153" s="37">
        <v>0.29653400000000002</v>
      </c>
      <c r="K153" s="38" t="str">
        <f t="shared" si="8"/>
        <v>No</v>
      </c>
      <c r="L153" s="38" t="s">
        <v>110</v>
      </c>
      <c r="M153" s="1"/>
      <c r="N153" s="30"/>
      <c r="O153" s="31"/>
      <c r="P153" s="31"/>
      <c r="Q153" s="31"/>
      <c r="R153" s="31"/>
      <c r="S153" s="33"/>
    </row>
    <row r="154" spans="2:19" x14ac:dyDescent="0.2">
      <c r="B154" s="1"/>
      <c r="C154" s="16" t="s">
        <v>5</v>
      </c>
      <c r="D154" s="16" t="s">
        <v>95</v>
      </c>
      <c r="E154" s="16" t="s">
        <v>74</v>
      </c>
      <c r="F154" s="36">
        <v>44684</v>
      </c>
      <c r="G154" s="37">
        <v>0.357539683</v>
      </c>
      <c r="H154" s="38" t="str">
        <f t="shared" si="6"/>
        <v>No</v>
      </c>
      <c r="I154" s="38" t="str">
        <f t="shared" si="7"/>
        <v>-</v>
      </c>
      <c r="J154" s="37">
        <v>0.34967219999999999</v>
      </c>
      <c r="K154" s="38" t="str">
        <f t="shared" si="8"/>
        <v>No</v>
      </c>
      <c r="L154" s="38" t="s">
        <v>110</v>
      </c>
      <c r="M154" s="1"/>
      <c r="N154" s="30"/>
      <c r="O154" s="31"/>
      <c r="P154" s="31"/>
      <c r="Q154" s="31"/>
      <c r="R154" s="31"/>
      <c r="S154" s="33"/>
    </row>
    <row r="155" spans="2:19" x14ac:dyDescent="0.2">
      <c r="B155" s="1"/>
      <c r="C155" s="16" t="s">
        <v>5</v>
      </c>
      <c r="D155" s="16" t="s">
        <v>96</v>
      </c>
      <c r="E155" s="16" t="s">
        <v>74</v>
      </c>
      <c r="F155" s="36">
        <v>44693</v>
      </c>
      <c r="G155" s="37">
        <v>0.14283068700000001</v>
      </c>
      <c r="H155" s="38" t="str">
        <f t="shared" si="6"/>
        <v>No</v>
      </c>
      <c r="I155" s="38" t="str">
        <f t="shared" si="7"/>
        <v>-</v>
      </c>
      <c r="J155" s="37">
        <v>0.24510609999999999</v>
      </c>
      <c r="K155" s="38" t="str">
        <f t="shared" si="8"/>
        <v>No</v>
      </c>
      <c r="L155" s="38" t="s">
        <v>110</v>
      </c>
      <c r="M155" s="1"/>
      <c r="N155" s="30"/>
      <c r="O155" s="31"/>
      <c r="P155" s="31"/>
      <c r="Q155" s="31"/>
      <c r="R155" s="31"/>
      <c r="S155" s="33"/>
    </row>
    <row r="156" spans="2:19" x14ac:dyDescent="0.2">
      <c r="B156" s="1"/>
      <c r="C156" s="16" t="s">
        <v>5</v>
      </c>
      <c r="D156" s="16" t="s">
        <v>97</v>
      </c>
      <c r="E156" s="16" t="s">
        <v>74</v>
      </c>
      <c r="F156" s="36">
        <v>44733</v>
      </c>
      <c r="G156" s="37">
        <v>0.240533739</v>
      </c>
      <c r="H156" s="38" t="str">
        <f t="shared" si="6"/>
        <v>No</v>
      </c>
      <c r="I156" s="38" t="str">
        <f t="shared" si="7"/>
        <v>-</v>
      </c>
      <c r="J156" s="37">
        <v>0.31592199999999998</v>
      </c>
      <c r="K156" s="38" t="str">
        <f t="shared" si="8"/>
        <v>No</v>
      </c>
      <c r="L156" s="38" t="s">
        <v>110</v>
      </c>
      <c r="M156" s="1"/>
      <c r="N156" s="30"/>
      <c r="O156" s="31"/>
      <c r="P156" s="31"/>
      <c r="Q156" s="31"/>
      <c r="R156" s="31"/>
      <c r="S156" s="33"/>
    </row>
    <row r="157" spans="2:19" x14ac:dyDescent="0.2">
      <c r="B157" s="1"/>
      <c r="C157" s="13" t="s">
        <v>5</v>
      </c>
      <c r="D157" s="13" t="s">
        <v>98</v>
      </c>
      <c r="E157" s="13" t="s">
        <v>74</v>
      </c>
      <c r="F157" s="39">
        <v>44685</v>
      </c>
      <c r="G157" s="40">
        <v>0.54260096499999999</v>
      </c>
      <c r="H157" s="28" t="str">
        <f t="shared" si="6"/>
        <v>Yes</v>
      </c>
      <c r="I157" s="28">
        <v>59</v>
      </c>
      <c r="J157" s="40">
        <v>0.62635289999999999</v>
      </c>
      <c r="K157" s="28" t="str">
        <f t="shared" si="8"/>
        <v>Yes</v>
      </c>
      <c r="L157" s="28">
        <v>49</v>
      </c>
      <c r="M157" s="1"/>
      <c r="N157" s="30"/>
      <c r="O157" s="31"/>
      <c r="P157" s="31"/>
      <c r="Q157" s="31"/>
      <c r="R157" s="31"/>
      <c r="S157" s="33"/>
    </row>
    <row r="158" spans="2:19" x14ac:dyDescent="0.2">
      <c r="B158" s="1"/>
      <c r="C158" s="16" t="s">
        <v>5</v>
      </c>
      <c r="D158" s="16" t="s">
        <v>86</v>
      </c>
      <c r="E158" s="16" t="s">
        <v>74</v>
      </c>
      <c r="F158" s="36">
        <v>44672</v>
      </c>
      <c r="G158" s="37">
        <v>3.9912878999999998E-2</v>
      </c>
      <c r="H158" s="38" t="str">
        <f t="shared" si="6"/>
        <v>No</v>
      </c>
      <c r="I158" s="38" t="str">
        <f t="shared" si="7"/>
        <v>-</v>
      </c>
      <c r="J158" s="37">
        <v>0.28638180000000002</v>
      </c>
      <c r="K158" s="38" t="str">
        <f t="shared" si="8"/>
        <v>No</v>
      </c>
      <c r="L158" s="38" t="s">
        <v>110</v>
      </c>
      <c r="M158" s="1"/>
      <c r="N158" s="30"/>
      <c r="O158" s="31"/>
      <c r="P158" s="31"/>
      <c r="Q158" s="31"/>
      <c r="R158" s="31"/>
      <c r="S158" s="33"/>
    </row>
    <row r="159" spans="2:19" x14ac:dyDescent="0.2">
      <c r="B159" s="1"/>
      <c r="C159" s="16" t="s">
        <v>5</v>
      </c>
      <c r="D159" s="16" t="s">
        <v>88</v>
      </c>
      <c r="E159" s="16" t="s">
        <v>74</v>
      </c>
      <c r="F159" s="36">
        <v>44851</v>
      </c>
      <c r="G159" s="37">
        <v>0.108878057</v>
      </c>
      <c r="H159" s="38" t="str">
        <f t="shared" si="6"/>
        <v>No</v>
      </c>
      <c r="I159" s="38" t="str">
        <f t="shared" si="7"/>
        <v>-</v>
      </c>
      <c r="J159" s="37">
        <v>0.50168020000000002</v>
      </c>
      <c r="K159" s="38" t="str">
        <f t="shared" si="8"/>
        <v>Yes</v>
      </c>
      <c r="L159" s="38">
        <v>79</v>
      </c>
      <c r="M159" s="1"/>
      <c r="N159" s="30"/>
      <c r="O159" s="31"/>
      <c r="P159" s="31"/>
      <c r="Q159" s="31"/>
      <c r="R159" s="31"/>
      <c r="S159" s="33"/>
    </row>
    <row r="160" spans="2:19" x14ac:dyDescent="0.2">
      <c r="B160" s="1"/>
      <c r="C160" s="41" t="s">
        <v>5</v>
      </c>
      <c r="D160" s="41" t="s">
        <v>89</v>
      </c>
      <c r="E160" s="41" t="s">
        <v>74</v>
      </c>
      <c r="F160" s="42">
        <v>44833</v>
      </c>
      <c r="G160" s="43">
        <v>0.82827787500000005</v>
      </c>
      <c r="H160" s="44" t="str">
        <f t="shared" si="6"/>
        <v>Yes</v>
      </c>
      <c r="I160" s="44">
        <v>12</v>
      </c>
      <c r="J160" s="43">
        <v>0.57931809999999995</v>
      </c>
      <c r="K160" s="44" t="str">
        <f t="shared" si="8"/>
        <v>Yes</v>
      </c>
      <c r="L160" s="44" t="s">
        <v>110</v>
      </c>
      <c r="M160" s="1"/>
      <c r="N160" s="30"/>
      <c r="O160" s="31"/>
      <c r="P160" s="31"/>
      <c r="Q160" s="31"/>
      <c r="R160" s="31"/>
      <c r="S160" s="33"/>
    </row>
    <row r="161" spans="2:19" x14ac:dyDescent="0.2">
      <c r="B161" s="1"/>
      <c r="C161" s="16" t="s">
        <v>5</v>
      </c>
      <c r="D161" s="16" t="s">
        <v>90</v>
      </c>
      <c r="E161" s="16" t="s">
        <v>74</v>
      </c>
      <c r="F161" s="36">
        <v>44866</v>
      </c>
      <c r="G161" s="37">
        <v>0.21515820399999999</v>
      </c>
      <c r="H161" s="38" t="str">
        <f t="shared" si="6"/>
        <v>No</v>
      </c>
      <c r="I161" s="38" t="str">
        <f t="shared" si="7"/>
        <v>-</v>
      </c>
      <c r="J161" s="37">
        <v>0.25561339999999999</v>
      </c>
      <c r="K161" s="38" t="str">
        <f t="shared" si="8"/>
        <v>No</v>
      </c>
      <c r="L161" s="38" t="s">
        <v>110</v>
      </c>
      <c r="M161" s="1"/>
      <c r="N161" s="30"/>
      <c r="O161" s="31"/>
      <c r="P161" s="31"/>
      <c r="Q161" s="31"/>
      <c r="R161" s="31"/>
      <c r="S161" s="33"/>
    </row>
    <row r="162" spans="2:19" x14ac:dyDescent="0.2">
      <c r="B162" s="1"/>
      <c r="C162" s="41" t="s">
        <v>5</v>
      </c>
      <c r="D162" s="41" t="s">
        <v>91</v>
      </c>
      <c r="E162" s="41" t="s">
        <v>74</v>
      </c>
      <c r="F162" s="42">
        <v>44904</v>
      </c>
      <c r="G162" s="43">
        <v>1</v>
      </c>
      <c r="H162" s="44" t="str">
        <f t="shared" si="6"/>
        <v>Yes</v>
      </c>
      <c r="I162" s="44">
        <v>5</v>
      </c>
      <c r="J162" s="43">
        <v>0.88512389999999996</v>
      </c>
      <c r="K162" s="44" t="str">
        <f t="shared" si="8"/>
        <v>Yes</v>
      </c>
      <c r="L162" s="44" t="s">
        <v>110</v>
      </c>
      <c r="M162" s="1"/>
      <c r="N162" s="30"/>
      <c r="O162" s="31"/>
      <c r="P162" s="31"/>
      <c r="Q162" s="31"/>
      <c r="R162" s="31"/>
      <c r="S162" s="33"/>
    </row>
    <row r="163" spans="2:19" x14ac:dyDescent="0.2">
      <c r="B163" s="1"/>
      <c r="C163" s="13" t="s">
        <v>0</v>
      </c>
      <c r="D163" s="13" t="s">
        <v>105</v>
      </c>
      <c r="E163" s="13" t="s">
        <v>75</v>
      </c>
      <c r="F163" s="39">
        <v>44563</v>
      </c>
      <c r="G163" s="40">
        <v>0.73339603900000006</v>
      </c>
      <c r="H163" s="28" t="str">
        <f t="shared" si="6"/>
        <v>Yes</v>
      </c>
      <c r="I163" s="28">
        <v>59</v>
      </c>
      <c r="J163" s="40">
        <v>0.25731850000000001</v>
      </c>
      <c r="K163" s="28" t="str">
        <f t="shared" si="8"/>
        <v>No</v>
      </c>
      <c r="L163" s="28">
        <v>54</v>
      </c>
      <c r="M163" s="1"/>
      <c r="N163" s="30"/>
      <c r="O163" s="31"/>
      <c r="P163" s="31"/>
      <c r="Q163" s="31"/>
      <c r="R163" s="31"/>
      <c r="S163" s="33"/>
    </row>
    <row r="164" spans="2:19" x14ac:dyDescent="0.2">
      <c r="B164" s="1"/>
      <c r="C164" s="16" t="s">
        <v>0</v>
      </c>
      <c r="D164" s="16" t="s">
        <v>102</v>
      </c>
      <c r="E164" s="16" t="s">
        <v>75</v>
      </c>
      <c r="F164" s="36">
        <v>44570</v>
      </c>
      <c r="G164" s="37">
        <v>0.15156924499999999</v>
      </c>
      <c r="H164" s="38" t="str">
        <f t="shared" si="6"/>
        <v>No</v>
      </c>
      <c r="I164" s="38" t="str">
        <f t="shared" si="7"/>
        <v>-</v>
      </c>
      <c r="J164" s="37">
        <v>0.29555330000000002</v>
      </c>
      <c r="K164" s="38" t="str">
        <f t="shared" si="8"/>
        <v>No</v>
      </c>
      <c r="L164" s="38" t="s">
        <v>110</v>
      </c>
      <c r="M164" s="1"/>
      <c r="N164" s="30"/>
      <c r="O164" s="31"/>
      <c r="P164" s="31"/>
      <c r="Q164" s="31"/>
      <c r="R164" s="31"/>
      <c r="S164" s="33"/>
    </row>
    <row r="165" spans="2:19" x14ac:dyDescent="0.2">
      <c r="B165" s="1"/>
      <c r="C165" s="16" t="s">
        <v>0</v>
      </c>
      <c r="D165" s="16" t="s">
        <v>103</v>
      </c>
      <c r="E165" s="16" t="s">
        <v>75</v>
      </c>
      <c r="F165" s="36">
        <v>44571</v>
      </c>
      <c r="G165" s="37">
        <v>0.238719986</v>
      </c>
      <c r="H165" s="38" t="str">
        <f t="shared" si="6"/>
        <v>No</v>
      </c>
      <c r="I165" s="38" t="str">
        <f t="shared" si="7"/>
        <v>-</v>
      </c>
      <c r="J165" s="37">
        <v>0.28736289999999998</v>
      </c>
      <c r="K165" s="38" t="str">
        <f t="shared" si="8"/>
        <v>No</v>
      </c>
      <c r="L165" s="38" t="s">
        <v>110</v>
      </c>
      <c r="M165" s="1"/>
      <c r="N165" s="30"/>
      <c r="O165" s="31"/>
      <c r="P165" s="31"/>
      <c r="Q165" s="31"/>
      <c r="R165" s="31"/>
      <c r="S165" s="33"/>
    </row>
    <row r="166" spans="2:19" x14ac:dyDescent="0.2">
      <c r="B166" s="1"/>
      <c r="C166" s="16" t="s">
        <v>0</v>
      </c>
      <c r="D166" s="16" t="s">
        <v>92</v>
      </c>
      <c r="E166" s="16" t="s">
        <v>75</v>
      </c>
      <c r="F166" s="36">
        <v>44624</v>
      </c>
      <c r="G166" s="37">
        <v>1.737731E-2</v>
      </c>
      <c r="H166" s="38" t="str">
        <f t="shared" si="6"/>
        <v>No</v>
      </c>
      <c r="I166" s="38" t="str">
        <f t="shared" si="7"/>
        <v>-</v>
      </c>
      <c r="J166" s="37">
        <v>0.2217663</v>
      </c>
      <c r="K166" s="38" t="str">
        <f t="shared" si="8"/>
        <v>No</v>
      </c>
      <c r="L166" s="38" t="s">
        <v>110</v>
      </c>
      <c r="M166" s="1"/>
      <c r="N166" s="30"/>
      <c r="O166" s="31"/>
      <c r="P166" s="31"/>
      <c r="Q166" s="31"/>
      <c r="R166" s="31"/>
      <c r="S166" s="33"/>
    </row>
    <row r="167" spans="2:19" x14ac:dyDescent="0.2">
      <c r="B167" s="1"/>
      <c r="C167" s="16" t="s">
        <v>0</v>
      </c>
      <c r="D167" s="16" t="s">
        <v>93</v>
      </c>
      <c r="E167" s="16" t="s">
        <v>75</v>
      </c>
      <c r="F167" s="36">
        <v>44669</v>
      </c>
      <c r="G167" s="37">
        <v>0.14295180900000001</v>
      </c>
      <c r="H167" s="38" t="str">
        <f t="shared" si="6"/>
        <v>No</v>
      </c>
      <c r="I167" s="38" t="str">
        <f t="shared" si="7"/>
        <v>-</v>
      </c>
      <c r="J167" s="37">
        <v>0.17024629999999999</v>
      </c>
      <c r="K167" s="38" t="str">
        <f t="shared" si="8"/>
        <v>No</v>
      </c>
      <c r="L167" s="38" t="s">
        <v>110</v>
      </c>
      <c r="M167" s="1"/>
      <c r="N167" s="30"/>
      <c r="O167" s="31"/>
      <c r="P167" s="31"/>
      <c r="Q167" s="31"/>
      <c r="R167" s="31"/>
      <c r="S167" s="33"/>
    </row>
    <row r="168" spans="2:19" x14ac:dyDescent="0.2">
      <c r="B168" s="1"/>
      <c r="C168" s="16" t="s">
        <v>0</v>
      </c>
      <c r="D168" s="16" t="s">
        <v>94</v>
      </c>
      <c r="E168" s="16" t="s">
        <v>75</v>
      </c>
      <c r="F168" s="36">
        <v>44691</v>
      </c>
      <c r="G168" s="37">
        <v>0.11684699599999999</v>
      </c>
      <c r="H168" s="38" t="str">
        <f t="shared" si="6"/>
        <v>No</v>
      </c>
      <c r="I168" s="38" t="str">
        <f t="shared" si="7"/>
        <v>-</v>
      </c>
      <c r="J168" s="37">
        <v>0.2312022</v>
      </c>
      <c r="K168" s="38" t="str">
        <f t="shared" si="8"/>
        <v>No</v>
      </c>
      <c r="L168" s="38" t="s">
        <v>110</v>
      </c>
      <c r="M168" s="1"/>
      <c r="N168" s="30"/>
      <c r="O168" s="31"/>
      <c r="P168" s="31"/>
      <c r="Q168" s="31"/>
      <c r="R168" s="31"/>
      <c r="S168" s="33"/>
    </row>
    <row r="169" spans="2:19" x14ac:dyDescent="0.2">
      <c r="B169" s="1"/>
      <c r="C169" s="16" t="s">
        <v>0</v>
      </c>
      <c r="D169" s="16" t="s">
        <v>95</v>
      </c>
      <c r="E169" s="16" t="s">
        <v>75</v>
      </c>
      <c r="F169" s="36">
        <v>44706</v>
      </c>
      <c r="G169" s="37">
        <v>0.12206173300000001</v>
      </c>
      <c r="H169" s="38" t="str">
        <f t="shared" si="6"/>
        <v>No</v>
      </c>
      <c r="I169" s="38" t="str">
        <f t="shared" si="7"/>
        <v>-</v>
      </c>
      <c r="J169" s="37">
        <v>0.20857600000000001</v>
      </c>
      <c r="K169" s="38" t="str">
        <f t="shared" si="8"/>
        <v>No</v>
      </c>
      <c r="L169" s="38" t="s">
        <v>110</v>
      </c>
      <c r="M169" s="1"/>
      <c r="N169" s="30"/>
      <c r="O169" s="31"/>
      <c r="P169" s="31"/>
      <c r="Q169" s="31"/>
      <c r="R169" s="31"/>
      <c r="S169" s="33"/>
    </row>
    <row r="170" spans="2:19" x14ac:dyDescent="0.2">
      <c r="B170" s="1"/>
      <c r="C170" s="16" t="s">
        <v>0</v>
      </c>
      <c r="D170" s="16" t="s">
        <v>96</v>
      </c>
      <c r="E170" s="16" t="s">
        <v>75</v>
      </c>
      <c r="F170" s="36">
        <v>44696</v>
      </c>
      <c r="G170" s="37">
        <v>0.41575306000000001</v>
      </c>
      <c r="H170" s="38" t="str">
        <f t="shared" si="6"/>
        <v>No</v>
      </c>
      <c r="I170" s="38" t="str">
        <f t="shared" si="7"/>
        <v>-</v>
      </c>
      <c r="J170" s="37">
        <v>0.31929049999999998</v>
      </c>
      <c r="K170" s="38" t="str">
        <f t="shared" si="8"/>
        <v>No</v>
      </c>
      <c r="L170" s="38" t="s">
        <v>110</v>
      </c>
      <c r="M170" s="1"/>
      <c r="N170" s="30"/>
      <c r="O170" s="31"/>
      <c r="P170" s="31"/>
      <c r="Q170" s="31"/>
      <c r="R170" s="31"/>
      <c r="S170" s="33"/>
    </row>
    <row r="171" spans="2:19" x14ac:dyDescent="0.2">
      <c r="B171" s="1"/>
      <c r="C171" s="16" t="s">
        <v>0</v>
      </c>
      <c r="D171" s="16" t="s">
        <v>97</v>
      </c>
      <c r="E171" s="16" t="s">
        <v>75</v>
      </c>
      <c r="F171" s="36">
        <v>44697</v>
      </c>
      <c r="G171" s="37">
        <v>9.0853851999999999E-2</v>
      </c>
      <c r="H171" s="38" t="str">
        <f t="shared" si="6"/>
        <v>No</v>
      </c>
      <c r="I171" s="38" t="str">
        <f t="shared" si="7"/>
        <v>-</v>
      </c>
      <c r="J171" s="37">
        <v>0.23321639999999999</v>
      </c>
      <c r="K171" s="38" t="str">
        <f t="shared" si="8"/>
        <v>No</v>
      </c>
      <c r="L171" s="38" t="s">
        <v>110</v>
      </c>
      <c r="M171" s="1"/>
      <c r="N171" s="30"/>
      <c r="O171" s="31"/>
      <c r="P171" s="31"/>
      <c r="Q171" s="31"/>
      <c r="R171" s="31"/>
      <c r="S171" s="33"/>
    </row>
    <row r="172" spans="2:19" x14ac:dyDescent="0.2">
      <c r="B172" s="1"/>
      <c r="C172" s="16" t="s">
        <v>0</v>
      </c>
      <c r="D172" s="16" t="s">
        <v>98</v>
      </c>
      <c r="E172" s="16" t="s">
        <v>75</v>
      </c>
      <c r="F172" s="36">
        <v>44693</v>
      </c>
      <c r="G172" s="37">
        <v>0.34221246599999999</v>
      </c>
      <c r="H172" s="38" t="str">
        <f t="shared" si="6"/>
        <v>No</v>
      </c>
      <c r="I172" s="38" t="str">
        <f t="shared" si="7"/>
        <v>-</v>
      </c>
      <c r="J172" s="37">
        <v>0.30374960000000001</v>
      </c>
      <c r="K172" s="38" t="str">
        <f t="shared" si="8"/>
        <v>No</v>
      </c>
      <c r="L172" s="38" t="s">
        <v>110</v>
      </c>
      <c r="M172" s="1"/>
      <c r="N172" s="30"/>
      <c r="O172" s="31"/>
      <c r="P172" s="31"/>
      <c r="Q172" s="31"/>
      <c r="R172" s="31"/>
      <c r="S172" s="33"/>
    </row>
    <row r="173" spans="2:19" x14ac:dyDescent="0.2">
      <c r="B173" s="1"/>
      <c r="C173" s="16" t="s">
        <v>0</v>
      </c>
      <c r="D173" s="16" t="s">
        <v>99</v>
      </c>
      <c r="E173" s="16" t="s">
        <v>75</v>
      </c>
      <c r="F173" s="36">
        <v>44743</v>
      </c>
      <c r="G173" s="37">
        <v>3.1740068000000003E-2</v>
      </c>
      <c r="H173" s="38" t="str">
        <f t="shared" si="6"/>
        <v>No</v>
      </c>
      <c r="I173" s="38" t="str">
        <f t="shared" si="7"/>
        <v>-</v>
      </c>
      <c r="J173" s="37">
        <v>0.193469</v>
      </c>
      <c r="K173" s="38" t="str">
        <f t="shared" si="8"/>
        <v>No</v>
      </c>
      <c r="L173" s="38" t="s">
        <v>110</v>
      </c>
      <c r="M173" s="1"/>
      <c r="N173" s="30"/>
      <c r="O173" s="31"/>
      <c r="P173" s="31"/>
      <c r="Q173" s="31"/>
      <c r="R173" s="31"/>
      <c r="S173" s="33"/>
    </row>
    <row r="174" spans="2:19" x14ac:dyDescent="0.2">
      <c r="B174" s="1"/>
      <c r="C174" s="16" t="s">
        <v>0</v>
      </c>
      <c r="D174" s="16" t="s">
        <v>100</v>
      </c>
      <c r="E174" s="16" t="s">
        <v>75</v>
      </c>
      <c r="F174" s="36">
        <v>44794</v>
      </c>
      <c r="G174" s="37">
        <v>7.1118439000000006E-2</v>
      </c>
      <c r="H174" s="38" t="str">
        <f t="shared" si="6"/>
        <v>No</v>
      </c>
      <c r="I174" s="38" t="str">
        <f t="shared" si="7"/>
        <v>-</v>
      </c>
      <c r="J174" s="37">
        <v>0.24709980000000001</v>
      </c>
      <c r="K174" s="38" t="str">
        <f t="shared" si="8"/>
        <v>No</v>
      </c>
      <c r="L174" s="38" t="s">
        <v>110</v>
      </c>
      <c r="M174" s="1"/>
      <c r="N174" s="30"/>
      <c r="O174" s="31"/>
      <c r="P174" s="31"/>
      <c r="Q174" s="31"/>
      <c r="R174" s="31"/>
      <c r="S174" s="33"/>
    </row>
    <row r="175" spans="2:19" x14ac:dyDescent="0.2">
      <c r="B175" s="1"/>
      <c r="C175" s="16" t="s">
        <v>0</v>
      </c>
      <c r="D175" s="16" t="s">
        <v>86</v>
      </c>
      <c r="E175" s="16" t="s">
        <v>75</v>
      </c>
      <c r="F175" s="36">
        <v>44669</v>
      </c>
      <c r="G175" s="37">
        <v>4.8538006000000002E-2</v>
      </c>
      <c r="H175" s="38" t="str">
        <f t="shared" si="6"/>
        <v>No</v>
      </c>
      <c r="I175" s="38" t="str">
        <f t="shared" si="7"/>
        <v>-</v>
      </c>
      <c r="J175" s="37">
        <v>0.17314209999999999</v>
      </c>
      <c r="K175" s="38" t="str">
        <f t="shared" si="8"/>
        <v>No</v>
      </c>
      <c r="L175" s="38" t="s">
        <v>110</v>
      </c>
      <c r="M175" s="1"/>
      <c r="N175" s="30"/>
      <c r="O175" s="31"/>
      <c r="P175" s="31"/>
      <c r="Q175" s="31"/>
      <c r="R175" s="31"/>
      <c r="S175" s="33"/>
    </row>
    <row r="176" spans="2:19" x14ac:dyDescent="0.2">
      <c r="B176" s="1"/>
      <c r="C176" s="16" t="s">
        <v>0</v>
      </c>
      <c r="D176" s="16" t="s">
        <v>87</v>
      </c>
      <c r="E176" s="16" t="s">
        <v>75</v>
      </c>
      <c r="F176" s="36">
        <v>44810</v>
      </c>
      <c r="G176" s="37">
        <v>0.30922563600000003</v>
      </c>
      <c r="H176" s="38" t="str">
        <f t="shared" si="6"/>
        <v>No</v>
      </c>
      <c r="I176" s="38" t="str">
        <f t="shared" si="7"/>
        <v>-</v>
      </c>
      <c r="J176" s="37">
        <v>0.25648559999999998</v>
      </c>
      <c r="K176" s="38" t="str">
        <f t="shared" si="8"/>
        <v>No</v>
      </c>
      <c r="L176" s="38" t="s">
        <v>110</v>
      </c>
      <c r="M176" s="1"/>
      <c r="N176" s="30"/>
      <c r="O176" s="31"/>
      <c r="P176" s="31"/>
      <c r="Q176" s="31"/>
      <c r="R176" s="31"/>
      <c r="S176" s="33"/>
    </row>
    <row r="177" spans="2:19" x14ac:dyDescent="0.2">
      <c r="B177" s="1"/>
      <c r="C177" s="16" t="s">
        <v>0</v>
      </c>
      <c r="D177" s="16" t="s">
        <v>88</v>
      </c>
      <c r="E177" s="16" t="s">
        <v>75</v>
      </c>
      <c r="F177" s="36">
        <v>44819</v>
      </c>
      <c r="G177" s="37">
        <v>0.19132463699999999</v>
      </c>
      <c r="H177" s="38" t="str">
        <f t="shared" si="6"/>
        <v>No</v>
      </c>
      <c r="I177" s="38" t="str">
        <f t="shared" si="7"/>
        <v>-</v>
      </c>
      <c r="J177" s="37">
        <v>0.27633150000000001</v>
      </c>
      <c r="K177" s="38" t="str">
        <f t="shared" si="8"/>
        <v>No</v>
      </c>
      <c r="L177" s="38" t="s">
        <v>110</v>
      </c>
      <c r="M177" s="1"/>
      <c r="N177" s="30"/>
      <c r="O177" s="31"/>
      <c r="P177" s="31"/>
      <c r="Q177" s="31"/>
      <c r="R177" s="31"/>
      <c r="S177" s="33"/>
    </row>
    <row r="178" spans="2:19" x14ac:dyDescent="0.2">
      <c r="B178" s="1"/>
      <c r="C178" s="16" t="s">
        <v>0</v>
      </c>
      <c r="D178" s="16" t="s">
        <v>89</v>
      </c>
      <c r="E178" s="16" t="s">
        <v>75</v>
      </c>
      <c r="F178" s="36">
        <v>44816</v>
      </c>
      <c r="G178" s="37">
        <v>0.47875184900000001</v>
      </c>
      <c r="H178" s="38" t="str">
        <f t="shared" si="6"/>
        <v>No</v>
      </c>
      <c r="I178" s="38" t="str">
        <f t="shared" si="7"/>
        <v>-</v>
      </c>
      <c r="J178" s="37">
        <v>0.24515339999999999</v>
      </c>
      <c r="K178" s="38" t="str">
        <f t="shared" si="8"/>
        <v>No</v>
      </c>
      <c r="L178" s="38" t="s">
        <v>110</v>
      </c>
      <c r="M178" s="1"/>
      <c r="N178" s="30"/>
      <c r="O178" s="31"/>
      <c r="P178" s="31"/>
      <c r="Q178" s="31"/>
      <c r="R178" s="31"/>
      <c r="S178" s="33"/>
    </row>
    <row r="179" spans="2:19" x14ac:dyDescent="0.2">
      <c r="B179" s="1"/>
      <c r="C179" s="16" t="s">
        <v>0</v>
      </c>
      <c r="D179" s="16" t="s">
        <v>104</v>
      </c>
      <c r="E179" s="16" t="s">
        <v>75</v>
      </c>
      <c r="F179" s="36">
        <v>44820</v>
      </c>
      <c r="G179" s="37">
        <v>2.4361276000000001E-2</v>
      </c>
      <c r="H179" s="38" t="str">
        <f t="shared" si="6"/>
        <v>No</v>
      </c>
      <c r="I179" s="38" t="str">
        <f t="shared" si="7"/>
        <v>-</v>
      </c>
      <c r="J179" s="37">
        <v>0.21592939999999999</v>
      </c>
      <c r="K179" s="38" t="str">
        <f t="shared" si="8"/>
        <v>No</v>
      </c>
      <c r="L179" s="38" t="s">
        <v>110</v>
      </c>
      <c r="M179" s="1"/>
      <c r="N179" s="30"/>
      <c r="O179" s="31"/>
      <c r="P179" s="31"/>
      <c r="Q179" s="31"/>
      <c r="R179" s="31"/>
      <c r="S179" s="33"/>
    </row>
    <row r="180" spans="2:19" x14ac:dyDescent="0.2">
      <c r="B180" s="1"/>
      <c r="C180" s="13" t="s">
        <v>0</v>
      </c>
      <c r="D180" s="13" t="s">
        <v>90</v>
      </c>
      <c r="E180" s="13" t="s">
        <v>75</v>
      </c>
      <c r="F180" s="39">
        <v>44826</v>
      </c>
      <c r="G180" s="40">
        <v>0.66004947400000002</v>
      </c>
      <c r="H180" s="28" t="str">
        <f t="shared" si="6"/>
        <v>Yes</v>
      </c>
      <c r="I180" s="28">
        <v>216</v>
      </c>
      <c r="J180" s="40">
        <v>0.64893559999999995</v>
      </c>
      <c r="K180" s="28" t="str">
        <f t="shared" si="8"/>
        <v>Yes</v>
      </c>
      <c r="L180" s="28">
        <v>265</v>
      </c>
      <c r="M180" s="1"/>
      <c r="N180" s="30"/>
      <c r="O180" s="31"/>
      <c r="P180" s="31"/>
      <c r="Q180" s="31"/>
      <c r="R180" s="31"/>
      <c r="S180" s="33"/>
    </row>
    <row r="181" spans="2:19" x14ac:dyDescent="0.2">
      <c r="B181" s="1"/>
      <c r="C181" s="13" t="s">
        <v>0</v>
      </c>
      <c r="D181" s="13" t="s">
        <v>91</v>
      </c>
      <c r="E181" s="13" t="s">
        <v>75</v>
      </c>
      <c r="F181" s="39">
        <v>44900</v>
      </c>
      <c r="G181" s="40">
        <v>0.811063019</v>
      </c>
      <c r="H181" s="28" t="str">
        <f t="shared" si="6"/>
        <v>Yes</v>
      </c>
      <c r="I181" s="28">
        <v>34</v>
      </c>
      <c r="J181" s="40">
        <v>0.70710949999999995</v>
      </c>
      <c r="K181" s="28" t="str">
        <f t="shared" si="8"/>
        <v>Yes</v>
      </c>
      <c r="L181" s="28">
        <v>33</v>
      </c>
      <c r="M181" s="1"/>
      <c r="N181" s="30"/>
      <c r="O181" s="31"/>
      <c r="P181" s="31"/>
      <c r="Q181" s="31"/>
      <c r="R181" s="31"/>
      <c r="S181" s="33"/>
    </row>
    <row r="182" spans="2:19" x14ac:dyDescent="0.2">
      <c r="B182" s="1"/>
      <c r="C182" s="16" t="s">
        <v>106</v>
      </c>
      <c r="D182" s="16" t="s">
        <v>102</v>
      </c>
      <c r="E182" s="16" t="s">
        <v>73</v>
      </c>
      <c r="F182" s="36">
        <v>44580</v>
      </c>
      <c r="G182" s="37">
        <v>4.4084915000000002E-2</v>
      </c>
      <c r="H182" s="38" t="str">
        <f t="shared" si="6"/>
        <v>No</v>
      </c>
      <c r="I182" s="38" t="str">
        <f t="shared" si="7"/>
        <v>-</v>
      </c>
      <c r="J182" s="37">
        <v>0.2438844</v>
      </c>
      <c r="K182" s="38" t="str">
        <f t="shared" si="8"/>
        <v>No</v>
      </c>
      <c r="L182" s="38" t="s">
        <v>110</v>
      </c>
      <c r="M182" s="1"/>
      <c r="N182" s="30"/>
      <c r="O182" s="31"/>
      <c r="P182" s="31"/>
      <c r="Q182" s="31"/>
      <c r="R182" s="31"/>
      <c r="S182" s="33"/>
    </row>
    <row r="183" spans="2:19" x14ac:dyDescent="0.2">
      <c r="B183" s="1"/>
      <c r="C183" s="16" t="s">
        <v>106</v>
      </c>
      <c r="D183" s="16" t="s">
        <v>103</v>
      </c>
      <c r="E183" s="16" t="s">
        <v>73</v>
      </c>
      <c r="F183" s="36">
        <v>44573</v>
      </c>
      <c r="G183" s="37">
        <v>0.45408798099999997</v>
      </c>
      <c r="H183" s="38" t="str">
        <f t="shared" si="6"/>
        <v>No</v>
      </c>
      <c r="I183" s="38" t="str">
        <f t="shared" si="7"/>
        <v>-</v>
      </c>
      <c r="J183" s="37">
        <v>0.3767279</v>
      </c>
      <c r="K183" s="38" t="str">
        <f t="shared" si="8"/>
        <v>No</v>
      </c>
      <c r="L183" s="38" t="s">
        <v>110</v>
      </c>
      <c r="M183" s="1"/>
      <c r="N183" s="30"/>
      <c r="O183" s="31"/>
      <c r="P183" s="31"/>
      <c r="Q183" s="31"/>
      <c r="R183" s="31"/>
      <c r="S183" s="33"/>
    </row>
    <row r="184" spans="2:19" x14ac:dyDescent="0.2">
      <c r="B184" s="1"/>
      <c r="C184" s="16" t="s">
        <v>106</v>
      </c>
      <c r="D184" s="16" t="s">
        <v>93</v>
      </c>
      <c r="E184" s="16" t="s">
        <v>73</v>
      </c>
      <c r="F184" s="36">
        <v>44705</v>
      </c>
      <c r="G184" s="37">
        <v>2.5480156E-2</v>
      </c>
      <c r="H184" s="38" t="str">
        <f t="shared" si="6"/>
        <v>No</v>
      </c>
      <c r="I184" s="38" t="str">
        <f t="shared" si="7"/>
        <v>-</v>
      </c>
      <c r="J184" s="37">
        <v>0.24949959999999999</v>
      </c>
      <c r="K184" s="38" t="str">
        <f t="shared" si="8"/>
        <v>No</v>
      </c>
      <c r="L184" s="38" t="s">
        <v>110</v>
      </c>
      <c r="M184" s="1"/>
      <c r="N184" s="30"/>
      <c r="O184" s="31"/>
      <c r="P184" s="31"/>
      <c r="Q184" s="31"/>
      <c r="R184" s="31"/>
      <c r="S184" s="33"/>
    </row>
    <row r="185" spans="2:19" x14ac:dyDescent="0.2">
      <c r="B185" s="1"/>
      <c r="C185" s="16" t="s">
        <v>106</v>
      </c>
      <c r="D185" s="16" t="s">
        <v>94</v>
      </c>
      <c r="E185" s="16" t="s">
        <v>73</v>
      </c>
      <c r="F185" s="36">
        <v>44701</v>
      </c>
      <c r="G185" s="37">
        <v>5.9400289000000002E-2</v>
      </c>
      <c r="H185" s="38" t="str">
        <f t="shared" si="6"/>
        <v>No</v>
      </c>
      <c r="I185" s="38" t="str">
        <f t="shared" si="7"/>
        <v>-</v>
      </c>
      <c r="J185" s="37">
        <v>0.27337210000000001</v>
      </c>
      <c r="K185" s="38" t="str">
        <f t="shared" si="8"/>
        <v>No</v>
      </c>
      <c r="L185" s="38" t="s">
        <v>110</v>
      </c>
      <c r="M185" s="1"/>
      <c r="N185" s="30"/>
      <c r="O185" s="31"/>
      <c r="P185" s="31"/>
      <c r="Q185" s="31"/>
      <c r="R185" s="31"/>
      <c r="S185" s="33"/>
    </row>
    <row r="186" spans="2:19" x14ac:dyDescent="0.2">
      <c r="B186" s="1"/>
      <c r="C186" s="16" t="s">
        <v>106</v>
      </c>
      <c r="D186" s="16" t="s">
        <v>95</v>
      </c>
      <c r="E186" s="16" t="s">
        <v>73</v>
      </c>
      <c r="F186" s="36">
        <v>44709</v>
      </c>
      <c r="G186" s="37">
        <v>7.4121316000000007E-2</v>
      </c>
      <c r="H186" s="38" t="str">
        <f t="shared" si="6"/>
        <v>No</v>
      </c>
      <c r="I186" s="38" t="str">
        <f t="shared" si="7"/>
        <v>-</v>
      </c>
      <c r="J186" s="37">
        <v>0.32121119999999997</v>
      </c>
      <c r="K186" s="38" t="str">
        <f t="shared" si="8"/>
        <v>No</v>
      </c>
      <c r="L186" s="38" t="s">
        <v>110</v>
      </c>
      <c r="M186" s="1"/>
      <c r="N186" s="30"/>
      <c r="O186" s="31"/>
      <c r="P186" s="31"/>
      <c r="Q186" s="31"/>
      <c r="R186" s="31"/>
      <c r="S186" s="33"/>
    </row>
    <row r="187" spans="2:19" x14ac:dyDescent="0.2">
      <c r="B187" s="1"/>
      <c r="C187" s="16" t="s">
        <v>106</v>
      </c>
      <c r="D187" s="16" t="s">
        <v>96</v>
      </c>
      <c r="E187" s="16" t="s">
        <v>73</v>
      </c>
      <c r="F187" s="36">
        <v>44706</v>
      </c>
      <c r="G187" s="37">
        <v>0.44881417499999998</v>
      </c>
      <c r="H187" s="38" t="str">
        <f t="shared" si="6"/>
        <v>No</v>
      </c>
      <c r="I187" s="38" t="str">
        <f t="shared" si="7"/>
        <v>-</v>
      </c>
      <c r="J187" s="37">
        <v>0.33774490000000001</v>
      </c>
      <c r="K187" s="38" t="str">
        <f t="shared" si="8"/>
        <v>No</v>
      </c>
      <c r="L187" s="38" t="s">
        <v>110</v>
      </c>
      <c r="M187" s="1"/>
      <c r="N187" s="30"/>
      <c r="O187" s="31"/>
      <c r="P187" s="31"/>
      <c r="Q187" s="31"/>
      <c r="R187" s="31"/>
      <c r="S187" s="33"/>
    </row>
    <row r="188" spans="2:19" x14ac:dyDescent="0.2">
      <c r="B188" s="1"/>
      <c r="C188" s="16" t="s">
        <v>106</v>
      </c>
      <c r="D188" s="16" t="s">
        <v>97</v>
      </c>
      <c r="E188" s="16" t="s">
        <v>73</v>
      </c>
      <c r="F188" s="36">
        <v>44715</v>
      </c>
      <c r="G188" s="37">
        <v>2.5697511999999999E-2</v>
      </c>
      <c r="H188" s="38" t="str">
        <f t="shared" si="6"/>
        <v>No</v>
      </c>
      <c r="I188" s="38" t="str">
        <f t="shared" si="7"/>
        <v>-</v>
      </c>
      <c r="J188" s="37">
        <v>0.2207018</v>
      </c>
      <c r="K188" s="38" t="str">
        <f t="shared" si="8"/>
        <v>No</v>
      </c>
      <c r="L188" s="38" t="s">
        <v>110</v>
      </c>
      <c r="M188" s="1"/>
      <c r="N188" s="30"/>
      <c r="O188" s="31"/>
      <c r="P188" s="31"/>
      <c r="Q188" s="31"/>
      <c r="R188" s="31"/>
      <c r="S188" s="33"/>
    </row>
    <row r="189" spans="2:19" x14ac:dyDescent="0.2">
      <c r="B189" s="1"/>
      <c r="C189" s="16" t="s">
        <v>106</v>
      </c>
      <c r="D189" s="16" t="s">
        <v>98</v>
      </c>
      <c r="E189" s="16" t="s">
        <v>73</v>
      </c>
      <c r="F189" s="36">
        <v>44707</v>
      </c>
      <c r="G189" s="37">
        <v>0.30848133999999999</v>
      </c>
      <c r="H189" s="38" t="str">
        <f t="shared" si="6"/>
        <v>No</v>
      </c>
      <c r="I189" s="38" t="str">
        <f t="shared" si="7"/>
        <v>-</v>
      </c>
      <c r="J189" s="37">
        <v>0.25177490000000002</v>
      </c>
      <c r="K189" s="38" t="str">
        <f t="shared" si="8"/>
        <v>No</v>
      </c>
      <c r="L189" s="38" t="s">
        <v>110</v>
      </c>
      <c r="M189" s="1"/>
      <c r="N189" s="30"/>
      <c r="O189" s="31"/>
      <c r="P189" s="31"/>
      <c r="Q189" s="31"/>
      <c r="R189" s="31"/>
      <c r="S189" s="33"/>
    </row>
    <row r="190" spans="2:19" x14ac:dyDescent="0.2">
      <c r="B190" s="1"/>
      <c r="C190" s="16" t="s">
        <v>106</v>
      </c>
      <c r="D190" s="16" t="s">
        <v>99</v>
      </c>
      <c r="E190" s="16" t="s">
        <v>73</v>
      </c>
      <c r="F190" s="36">
        <v>44735</v>
      </c>
      <c r="G190" s="37">
        <v>4.2636709000000002E-2</v>
      </c>
      <c r="H190" s="38" t="str">
        <f t="shared" si="6"/>
        <v>No</v>
      </c>
      <c r="I190" s="38" t="str">
        <f t="shared" si="7"/>
        <v>-</v>
      </c>
      <c r="J190" s="37">
        <v>0.2238861</v>
      </c>
      <c r="K190" s="38" t="str">
        <f t="shared" si="8"/>
        <v>No</v>
      </c>
      <c r="L190" s="38" t="s">
        <v>110</v>
      </c>
      <c r="M190" s="1"/>
      <c r="N190" s="30"/>
      <c r="O190" s="31"/>
      <c r="P190" s="31"/>
      <c r="Q190" s="31"/>
      <c r="R190" s="31"/>
      <c r="S190" s="33"/>
    </row>
    <row r="191" spans="2:19" x14ac:dyDescent="0.2">
      <c r="B191" s="1"/>
      <c r="C191" s="16" t="s">
        <v>106</v>
      </c>
      <c r="D191" s="16" t="s">
        <v>100</v>
      </c>
      <c r="E191" s="16" t="s">
        <v>73</v>
      </c>
      <c r="F191" s="36">
        <v>44820</v>
      </c>
      <c r="G191" s="37">
        <v>7.1043196000000003E-2</v>
      </c>
      <c r="H191" s="38" t="str">
        <f t="shared" si="6"/>
        <v>No</v>
      </c>
      <c r="I191" s="38" t="str">
        <f t="shared" si="7"/>
        <v>-</v>
      </c>
      <c r="J191" s="37">
        <v>0.2749299</v>
      </c>
      <c r="K191" s="38" t="str">
        <f t="shared" si="8"/>
        <v>No</v>
      </c>
      <c r="L191" s="38" t="s">
        <v>110</v>
      </c>
      <c r="M191" s="1"/>
      <c r="N191" s="30"/>
      <c r="O191" s="31"/>
      <c r="P191" s="31"/>
      <c r="Q191" s="31"/>
      <c r="R191" s="31"/>
      <c r="S191" s="33"/>
    </row>
    <row r="192" spans="2:19" x14ac:dyDescent="0.2">
      <c r="B192" s="1"/>
      <c r="C192" s="16" t="s">
        <v>106</v>
      </c>
      <c r="D192" s="16" t="s">
        <v>86</v>
      </c>
      <c r="E192" s="16" t="s">
        <v>73</v>
      </c>
      <c r="F192" s="36">
        <v>44670</v>
      </c>
      <c r="G192" s="37">
        <v>3.7459682000000001E-2</v>
      </c>
      <c r="H192" s="38" t="str">
        <f t="shared" si="6"/>
        <v>No</v>
      </c>
      <c r="I192" s="38" t="str">
        <f t="shared" si="7"/>
        <v>-</v>
      </c>
      <c r="J192" s="37">
        <v>0.20954049999999999</v>
      </c>
      <c r="K192" s="38" t="str">
        <f t="shared" si="8"/>
        <v>No</v>
      </c>
      <c r="L192" s="38" t="s">
        <v>110</v>
      </c>
      <c r="M192" s="1"/>
      <c r="N192" s="30"/>
      <c r="O192" s="31"/>
      <c r="P192" s="31"/>
      <c r="Q192" s="31"/>
      <c r="R192" s="31"/>
      <c r="S192" s="33"/>
    </row>
    <row r="193" spans="2:19" x14ac:dyDescent="0.2">
      <c r="B193" s="1"/>
      <c r="C193" s="13" t="s">
        <v>106</v>
      </c>
      <c r="D193" s="13" t="s">
        <v>87</v>
      </c>
      <c r="E193" s="13" t="s">
        <v>73</v>
      </c>
      <c r="F193" s="39">
        <v>44818</v>
      </c>
      <c r="G193" s="40">
        <v>0.57476546399999995</v>
      </c>
      <c r="H193" s="28" t="str">
        <f t="shared" si="6"/>
        <v>Yes</v>
      </c>
      <c r="I193" s="28">
        <v>89</v>
      </c>
      <c r="J193" s="40">
        <v>0.64855929999999995</v>
      </c>
      <c r="K193" s="28" t="str">
        <f t="shared" si="8"/>
        <v>Yes</v>
      </c>
      <c r="L193" s="28">
        <v>100</v>
      </c>
      <c r="M193" s="1"/>
      <c r="N193" s="30"/>
      <c r="O193" s="31"/>
      <c r="P193" s="31"/>
      <c r="Q193" s="31"/>
      <c r="R193" s="31"/>
      <c r="S193" s="33"/>
    </row>
    <row r="194" spans="2:19" x14ac:dyDescent="0.2">
      <c r="B194" s="1"/>
      <c r="C194" s="16" t="s">
        <v>106</v>
      </c>
      <c r="D194" s="16" t="s">
        <v>88</v>
      </c>
      <c r="E194" s="16" t="s">
        <v>73</v>
      </c>
      <c r="F194" s="36">
        <v>44831</v>
      </c>
      <c r="G194" s="37">
        <v>9.0440149999999997E-2</v>
      </c>
      <c r="H194" s="38" t="str">
        <f t="shared" si="6"/>
        <v>No</v>
      </c>
      <c r="I194" s="38" t="str">
        <f t="shared" si="7"/>
        <v>-</v>
      </c>
      <c r="J194" s="37">
        <v>0.20436779999999999</v>
      </c>
      <c r="K194" s="38" t="str">
        <f t="shared" si="8"/>
        <v>No</v>
      </c>
      <c r="L194" s="38" t="s">
        <v>110</v>
      </c>
      <c r="M194" s="1"/>
      <c r="N194" s="30"/>
      <c r="O194" s="31"/>
      <c r="P194" s="31"/>
      <c r="Q194" s="31"/>
      <c r="R194" s="31"/>
      <c r="S194" s="33"/>
    </row>
    <row r="195" spans="2:19" x14ac:dyDescent="0.2">
      <c r="B195" s="1"/>
      <c r="C195" s="16" t="s">
        <v>106</v>
      </c>
      <c r="D195" s="16" t="s">
        <v>89</v>
      </c>
      <c r="E195" s="16" t="s">
        <v>73</v>
      </c>
      <c r="F195" s="36">
        <v>44824</v>
      </c>
      <c r="G195" s="37">
        <v>9.0812983999999999E-2</v>
      </c>
      <c r="H195" s="38" t="str">
        <f t="shared" si="6"/>
        <v>No</v>
      </c>
      <c r="I195" s="38" t="str">
        <f t="shared" si="7"/>
        <v>-</v>
      </c>
      <c r="J195" s="37">
        <v>0.43814769999999997</v>
      </c>
      <c r="K195" s="38" t="str">
        <f t="shared" si="8"/>
        <v>No</v>
      </c>
      <c r="L195" s="38" t="s">
        <v>110</v>
      </c>
      <c r="M195" s="1"/>
      <c r="N195" s="30"/>
      <c r="O195" s="31"/>
      <c r="P195" s="31"/>
      <c r="Q195" s="31"/>
      <c r="R195" s="31"/>
      <c r="S195" s="33"/>
    </row>
    <row r="196" spans="2:19" x14ac:dyDescent="0.2">
      <c r="B196" s="1"/>
      <c r="C196" s="16" t="s">
        <v>106</v>
      </c>
      <c r="D196" s="16" t="s">
        <v>90</v>
      </c>
      <c r="E196" s="16" t="s">
        <v>73</v>
      </c>
      <c r="F196" s="36">
        <v>44835</v>
      </c>
      <c r="G196" s="37">
        <v>0.27602371399999998</v>
      </c>
      <c r="H196" s="38" t="str">
        <f t="shared" si="6"/>
        <v>No</v>
      </c>
      <c r="I196" s="38" t="str">
        <f t="shared" si="7"/>
        <v>-</v>
      </c>
      <c r="J196" s="37">
        <v>0.17079549999999999</v>
      </c>
      <c r="K196" s="38" t="str">
        <f t="shared" si="8"/>
        <v>No</v>
      </c>
      <c r="L196" s="38" t="s">
        <v>110</v>
      </c>
      <c r="M196" s="1"/>
      <c r="N196" s="30"/>
      <c r="O196" s="31"/>
      <c r="P196" s="31"/>
      <c r="Q196" s="31"/>
      <c r="R196" s="31"/>
      <c r="S196" s="33"/>
    </row>
    <row r="197" spans="2:19" x14ac:dyDescent="0.2">
      <c r="B197" s="1"/>
      <c r="C197" s="16" t="s">
        <v>106</v>
      </c>
      <c r="D197" s="16" t="s">
        <v>91</v>
      </c>
      <c r="E197" s="16" t="s">
        <v>73</v>
      </c>
      <c r="F197" s="36">
        <v>44904</v>
      </c>
      <c r="G197" s="37">
        <v>0.48621921800000001</v>
      </c>
      <c r="H197" s="38" t="str">
        <f t="shared" si="6"/>
        <v>No</v>
      </c>
      <c r="I197" s="38" t="str">
        <f t="shared" si="7"/>
        <v>-</v>
      </c>
      <c r="J197" s="37">
        <v>0.21236559999999999</v>
      </c>
      <c r="K197" s="38" t="str">
        <f t="shared" si="8"/>
        <v>No</v>
      </c>
      <c r="L197" s="38" t="s">
        <v>110</v>
      </c>
      <c r="M197" s="1"/>
      <c r="N197" s="30"/>
      <c r="O197" s="31"/>
      <c r="P197" s="31"/>
      <c r="Q197" s="31"/>
      <c r="R197" s="31"/>
      <c r="S197" s="33"/>
    </row>
    <row r="198" spans="2:19" x14ac:dyDescent="0.2">
      <c r="B198" s="1"/>
      <c r="C198" s="16" t="s">
        <v>15</v>
      </c>
      <c r="D198" s="16" t="s">
        <v>96</v>
      </c>
      <c r="E198" s="16" t="s">
        <v>76</v>
      </c>
      <c r="F198" s="36">
        <v>44701</v>
      </c>
      <c r="G198" s="37">
        <v>0.29252691199999997</v>
      </c>
      <c r="H198" s="38" t="str">
        <f t="shared" si="6"/>
        <v>No</v>
      </c>
      <c r="I198" s="38" t="str">
        <f t="shared" si="7"/>
        <v>-</v>
      </c>
      <c r="J198" s="37">
        <v>0.28405249999999999</v>
      </c>
      <c r="K198" s="38" t="str">
        <f t="shared" si="8"/>
        <v>No</v>
      </c>
      <c r="L198" s="38" t="s">
        <v>110</v>
      </c>
      <c r="M198" s="1"/>
      <c r="N198" s="30"/>
      <c r="O198" s="31"/>
      <c r="P198" s="31"/>
      <c r="Q198" s="31"/>
      <c r="R198" s="31"/>
      <c r="S198" s="33"/>
    </row>
    <row r="199" spans="2:19" x14ac:dyDescent="0.2">
      <c r="B199" s="1"/>
      <c r="C199" s="16" t="s">
        <v>15</v>
      </c>
      <c r="D199" s="16" t="s">
        <v>98</v>
      </c>
      <c r="E199" s="16" t="s">
        <v>76</v>
      </c>
      <c r="F199" s="36">
        <v>44706</v>
      </c>
      <c r="G199" s="37">
        <v>0.10740959999999999</v>
      </c>
      <c r="H199" s="38" t="str">
        <f t="shared" si="6"/>
        <v>No</v>
      </c>
      <c r="I199" s="38" t="str">
        <f t="shared" si="7"/>
        <v>-</v>
      </c>
      <c r="J199" s="37">
        <v>0.26357789999999998</v>
      </c>
      <c r="K199" s="38" t="str">
        <f t="shared" si="8"/>
        <v>No</v>
      </c>
      <c r="L199" s="38" t="s">
        <v>110</v>
      </c>
      <c r="M199" s="1"/>
      <c r="N199" s="30"/>
      <c r="O199" s="31"/>
      <c r="P199" s="31"/>
      <c r="Q199" s="31"/>
      <c r="R199" s="31"/>
      <c r="S199" s="33"/>
    </row>
    <row r="200" spans="2:19" x14ac:dyDescent="0.2">
      <c r="B200" s="1"/>
      <c r="C200" s="16" t="s">
        <v>15</v>
      </c>
      <c r="D200" s="16" t="s">
        <v>86</v>
      </c>
      <c r="E200" s="16" t="s">
        <v>76</v>
      </c>
      <c r="F200" s="36">
        <v>44672</v>
      </c>
      <c r="G200" s="37">
        <v>0.104397771</v>
      </c>
      <c r="H200" s="38" t="str">
        <f t="shared" si="6"/>
        <v>No</v>
      </c>
      <c r="I200" s="38" t="str">
        <f t="shared" si="7"/>
        <v>-</v>
      </c>
      <c r="J200" s="37">
        <v>0.38708880000000001</v>
      </c>
      <c r="K200" s="38" t="str">
        <f t="shared" si="8"/>
        <v>No</v>
      </c>
      <c r="L200" s="38" t="s">
        <v>110</v>
      </c>
      <c r="M200" s="1"/>
      <c r="N200" s="30"/>
      <c r="O200" s="31"/>
      <c r="P200" s="31"/>
      <c r="Q200" s="31"/>
      <c r="R200" s="31"/>
      <c r="S200" s="33"/>
    </row>
    <row r="201" spans="2:19" x14ac:dyDescent="0.2">
      <c r="B201" s="1"/>
      <c r="C201" s="16" t="s">
        <v>15</v>
      </c>
      <c r="D201" s="16" t="s">
        <v>87</v>
      </c>
      <c r="E201" s="16" t="s">
        <v>76</v>
      </c>
      <c r="F201" s="36">
        <v>44785</v>
      </c>
      <c r="G201" s="37">
        <v>0.22692352299999999</v>
      </c>
      <c r="H201" s="38" t="str">
        <f t="shared" ref="H201:H237" si="9">IF(G201&gt;0.5, "Yes", "No")</f>
        <v>No</v>
      </c>
      <c r="I201" s="38" t="str">
        <f t="shared" ref="I201:I236" si="10">IF(H201="No", "-", "")</f>
        <v>-</v>
      </c>
      <c r="J201" s="37">
        <v>0.56532380000000004</v>
      </c>
      <c r="K201" s="38" t="str">
        <f t="shared" ref="K201:K237" si="11">IF(J201&gt;0.5, "Yes", "No")</f>
        <v>Yes</v>
      </c>
      <c r="L201" s="38">
        <v>67</v>
      </c>
      <c r="M201" s="1"/>
      <c r="N201" s="30"/>
      <c r="O201" s="31"/>
      <c r="P201" s="31"/>
      <c r="Q201" s="31"/>
      <c r="R201" s="31"/>
      <c r="S201" s="33"/>
    </row>
    <row r="202" spans="2:19" x14ac:dyDescent="0.2">
      <c r="B202" s="1"/>
      <c r="C202" s="13" t="s">
        <v>15</v>
      </c>
      <c r="D202" s="13" t="s">
        <v>104</v>
      </c>
      <c r="E202" s="13" t="s">
        <v>76</v>
      </c>
      <c r="F202" s="39">
        <v>44792</v>
      </c>
      <c r="G202" s="40">
        <v>0.66917397199999995</v>
      </c>
      <c r="H202" s="28" t="str">
        <f t="shared" si="9"/>
        <v>Yes</v>
      </c>
      <c r="I202" s="28">
        <v>26</v>
      </c>
      <c r="J202" s="40">
        <v>0.61361699999999997</v>
      </c>
      <c r="K202" s="28" t="str">
        <f t="shared" si="11"/>
        <v>Yes</v>
      </c>
      <c r="L202" s="28">
        <v>26</v>
      </c>
      <c r="M202" s="1"/>
      <c r="N202" s="30"/>
      <c r="O202" s="31"/>
      <c r="P202" s="31"/>
      <c r="Q202" s="31"/>
      <c r="R202" s="31"/>
      <c r="S202" s="33"/>
    </row>
    <row r="203" spans="2:19" x14ac:dyDescent="0.2">
      <c r="B203" s="1"/>
      <c r="C203" s="13" t="s">
        <v>15</v>
      </c>
      <c r="D203" s="13" t="s">
        <v>90</v>
      </c>
      <c r="E203" s="13" t="s">
        <v>76</v>
      </c>
      <c r="F203" s="39">
        <v>44808</v>
      </c>
      <c r="G203" s="40">
        <v>1</v>
      </c>
      <c r="H203" s="28" t="str">
        <f t="shared" si="9"/>
        <v>Yes</v>
      </c>
      <c r="I203" s="28">
        <v>115</v>
      </c>
      <c r="J203" s="40">
        <v>0.659771</v>
      </c>
      <c r="K203" s="28" t="str">
        <f t="shared" si="11"/>
        <v>Yes</v>
      </c>
      <c r="L203" s="28">
        <v>75</v>
      </c>
      <c r="M203" s="1"/>
      <c r="N203" s="30"/>
      <c r="O203" s="31"/>
      <c r="P203" s="31"/>
      <c r="Q203" s="31"/>
      <c r="R203" s="31"/>
      <c r="S203" s="33"/>
    </row>
    <row r="204" spans="2:19" x14ac:dyDescent="0.2">
      <c r="B204" s="1"/>
      <c r="C204" s="13" t="s">
        <v>15</v>
      </c>
      <c r="D204" s="13" t="s">
        <v>91</v>
      </c>
      <c r="E204" s="13" t="s">
        <v>76</v>
      </c>
      <c r="F204" s="39">
        <v>44910</v>
      </c>
      <c r="G204" s="40">
        <v>0.63095238099999995</v>
      </c>
      <c r="H204" s="28" t="str">
        <f t="shared" si="9"/>
        <v>Yes</v>
      </c>
      <c r="I204" s="28">
        <v>29</v>
      </c>
      <c r="J204" s="40">
        <v>0.55949550000000003</v>
      </c>
      <c r="K204" s="28" t="str">
        <f t="shared" si="11"/>
        <v>Yes</v>
      </c>
      <c r="L204" s="28">
        <v>28</v>
      </c>
      <c r="M204" s="1"/>
      <c r="N204" s="30"/>
      <c r="O204" s="31"/>
      <c r="P204" s="31"/>
      <c r="Q204" s="31"/>
      <c r="R204" s="31"/>
      <c r="S204" s="33"/>
    </row>
    <row r="205" spans="2:19" x14ac:dyDescent="0.2">
      <c r="B205" s="1"/>
      <c r="C205" s="13" t="s">
        <v>19</v>
      </c>
      <c r="D205" s="13" t="s">
        <v>105</v>
      </c>
      <c r="E205" s="13" t="s">
        <v>78</v>
      </c>
      <c r="F205" s="39">
        <v>44571</v>
      </c>
      <c r="G205" s="40">
        <v>0.75209188299999996</v>
      </c>
      <c r="H205" s="28" t="str">
        <f t="shared" si="9"/>
        <v>Yes</v>
      </c>
      <c r="I205" s="28">
        <v>48</v>
      </c>
      <c r="J205" s="40">
        <v>0.33421380000000001</v>
      </c>
      <c r="K205" s="28" t="str">
        <f t="shared" si="11"/>
        <v>No</v>
      </c>
      <c r="L205" s="28">
        <v>44</v>
      </c>
      <c r="M205" s="1"/>
      <c r="N205" s="30"/>
      <c r="O205" s="31"/>
      <c r="P205" s="31"/>
      <c r="Q205" s="31"/>
      <c r="R205" s="31"/>
      <c r="S205" s="33"/>
    </row>
    <row r="206" spans="2:19" x14ac:dyDescent="0.2">
      <c r="B206" s="1"/>
      <c r="C206" s="16" t="s">
        <v>19</v>
      </c>
      <c r="D206" s="16" t="s">
        <v>103</v>
      </c>
      <c r="E206" s="16" t="s">
        <v>78</v>
      </c>
      <c r="F206" s="36">
        <v>44586</v>
      </c>
      <c r="G206" s="37">
        <v>9.2321536999999995E-2</v>
      </c>
      <c r="H206" s="38" t="str">
        <f t="shared" si="9"/>
        <v>No</v>
      </c>
      <c r="I206" s="38" t="str">
        <f t="shared" si="10"/>
        <v>-</v>
      </c>
      <c r="J206" s="37">
        <v>0.29533740000000003</v>
      </c>
      <c r="K206" s="38" t="str">
        <f t="shared" si="11"/>
        <v>No</v>
      </c>
      <c r="L206" s="38" t="s">
        <v>110</v>
      </c>
      <c r="M206" s="1"/>
      <c r="N206" s="30"/>
      <c r="O206" s="31"/>
      <c r="P206" s="31"/>
      <c r="Q206" s="31"/>
      <c r="R206" s="31"/>
      <c r="S206" s="33"/>
    </row>
    <row r="207" spans="2:19" x14ac:dyDescent="0.2">
      <c r="B207" s="1"/>
      <c r="C207" s="16" t="s">
        <v>19</v>
      </c>
      <c r="D207" s="16" t="s">
        <v>92</v>
      </c>
      <c r="E207" s="16" t="s">
        <v>78</v>
      </c>
      <c r="F207" s="36">
        <v>44583</v>
      </c>
      <c r="G207" s="37">
        <v>0.19954448399999999</v>
      </c>
      <c r="H207" s="38" t="str">
        <f t="shared" si="9"/>
        <v>No</v>
      </c>
      <c r="I207" s="38" t="str">
        <f t="shared" si="10"/>
        <v>-</v>
      </c>
      <c r="J207" s="37">
        <v>0.24423239999999999</v>
      </c>
      <c r="K207" s="38" t="str">
        <f t="shared" si="11"/>
        <v>No</v>
      </c>
      <c r="L207" s="38" t="s">
        <v>110</v>
      </c>
      <c r="M207" s="1"/>
      <c r="N207" s="30"/>
      <c r="O207" s="31"/>
      <c r="P207" s="31"/>
      <c r="Q207" s="31"/>
      <c r="R207" s="31"/>
      <c r="S207" s="33"/>
    </row>
    <row r="208" spans="2:19" x14ac:dyDescent="0.2">
      <c r="B208" s="1"/>
      <c r="C208" s="16" t="s">
        <v>19</v>
      </c>
      <c r="D208" s="16" t="s">
        <v>93</v>
      </c>
      <c r="E208" s="16" t="s">
        <v>78</v>
      </c>
      <c r="F208" s="36">
        <v>44671</v>
      </c>
      <c r="G208" s="37">
        <v>0.16166007700000001</v>
      </c>
      <c r="H208" s="38" t="str">
        <f t="shared" si="9"/>
        <v>No</v>
      </c>
      <c r="I208" s="38" t="str">
        <f t="shared" si="10"/>
        <v>-</v>
      </c>
      <c r="J208" s="37">
        <v>0.2479316</v>
      </c>
      <c r="K208" s="38" t="str">
        <f t="shared" si="11"/>
        <v>No</v>
      </c>
      <c r="L208" s="38" t="s">
        <v>110</v>
      </c>
      <c r="M208" s="1"/>
      <c r="N208" s="30"/>
      <c r="O208" s="31"/>
      <c r="P208" s="31"/>
      <c r="Q208" s="31"/>
      <c r="R208" s="31"/>
      <c r="S208" s="33"/>
    </row>
    <row r="209" spans="2:19" x14ac:dyDescent="0.2">
      <c r="B209" s="1"/>
      <c r="C209" s="16" t="s">
        <v>19</v>
      </c>
      <c r="D209" s="16" t="s">
        <v>94</v>
      </c>
      <c r="E209" s="16" t="s">
        <v>78</v>
      </c>
      <c r="F209" s="36">
        <v>44694</v>
      </c>
      <c r="G209" s="37">
        <v>0.119172557</v>
      </c>
      <c r="H209" s="38" t="str">
        <f t="shared" si="9"/>
        <v>No</v>
      </c>
      <c r="I209" s="38" t="str">
        <f t="shared" si="10"/>
        <v>-</v>
      </c>
      <c r="J209" s="37">
        <v>0.33678390000000002</v>
      </c>
      <c r="K209" s="38" t="str">
        <f t="shared" si="11"/>
        <v>No</v>
      </c>
      <c r="L209" s="38" t="s">
        <v>110</v>
      </c>
      <c r="M209" s="1"/>
      <c r="N209" s="30"/>
      <c r="O209" s="31"/>
      <c r="P209" s="31"/>
      <c r="Q209" s="31"/>
      <c r="R209" s="31"/>
      <c r="S209" s="33"/>
    </row>
    <row r="210" spans="2:19" x14ac:dyDescent="0.2">
      <c r="B210" s="1"/>
      <c r="C210" s="16" t="s">
        <v>19</v>
      </c>
      <c r="D210" s="16" t="s">
        <v>95</v>
      </c>
      <c r="E210" s="16" t="s">
        <v>78</v>
      </c>
      <c r="F210" s="36">
        <v>44684</v>
      </c>
      <c r="G210" s="37">
        <v>0.47040919599999997</v>
      </c>
      <c r="H210" s="38" t="str">
        <f t="shared" si="9"/>
        <v>No</v>
      </c>
      <c r="I210" s="38" t="str">
        <f t="shared" si="10"/>
        <v>-</v>
      </c>
      <c r="J210" s="37">
        <v>0.48497659999999998</v>
      </c>
      <c r="K210" s="38" t="str">
        <f t="shared" si="11"/>
        <v>No</v>
      </c>
      <c r="L210" s="38" t="s">
        <v>110</v>
      </c>
      <c r="M210" s="1"/>
      <c r="N210" s="30"/>
      <c r="O210" s="31"/>
      <c r="P210" s="31"/>
      <c r="Q210" s="31"/>
      <c r="R210" s="31"/>
      <c r="S210" s="33"/>
    </row>
    <row r="211" spans="2:19" x14ac:dyDescent="0.2">
      <c r="B211" s="1"/>
      <c r="C211" s="16" t="s">
        <v>19</v>
      </c>
      <c r="D211" s="16" t="s">
        <v>96</v>
      </c>
      <c r="E211" s="16" t="s">
        <v>78</v>
      </c>
      <c r="F211" s="36">
        <v>44704</v>
      </c>
      <c r="G211" s="37">
        <v>0.32353459699999998</v>
      </c>
      <c r="H211" s="38" t="str">
        <f t="shared" si="9"/>
        <v>No</v>
      </c>
      <c r="I211" s="38" t="str">
        <f t="shared" si="10"/>
        <v>-</v>
      </c>
      <c r="J211" s="37">
        <v>0.34696329999999997</v>
      </c>
      <c r="K211" s="38" t="str">
        <f t="shared" si="11"/>
        <v>No</v>
      </c>
      <c r="L211" s="38" t="s">
        <v>110</v>
      </c>
      <c r="M211" s="1"/>
      <c r="N211" s="30"/>
      <c r="O211" s="31"/>
      <c r="P211" s="31"/>
      <c r="Q211" s="31"/>
      <c r="R211" s="31"/>
      <c r="S211" s="33"/>
    </row>
    <row r="212" spans="2:19" x14ac:dyDescent="0.2">
      <c r="B212" s="1"/>
      <c r="C212" s="16" t="s">
        <v>19</v>
      </c>
      <c r="D212" s="16" t="s">
        <v>97</v>
      </c>
      <c r="E212" s="16" t="s">
        <v>78</v>
      </c>
      <c r="F212" s="36">
        <v>44697</v>
      </c>
      <c r="G212" s="37">
        <v>0.106507189</v>
      </c>
      <c r="H212" s="38" t="str">
        <f t="shared" si="9"/>
        <v>No</v>
      </c>
      <c r="I212" s="38" t="str">
        <f t="shared" si="10"/>
        <v>-</v>
      </c>
      <c r="J212" s="37">
        <v>0.29275699999999999</v>
      </c>
      <c r="K212" s="38" t="str">
        <f t="shared" si="11"/>
        <v>No</v>
      </c>
      <c r="L212" s="38" t="s">
        <v>110</v>
      </c>
      <c r="M212" s="1"/>
      <c r="N212" s="30"/>
      <c r="O212" s="31"/>
      <c r="P212" s="31"/>
      <c r="Q212" s="31"/>
      <c r="R212" s="31"/>
      <c r="S212" s="33"/>
    </row>
    <row r="213" spans="2:19" x14ac:dyDescent="0.2">
      <c r="B213" s="1"/>
      <c r="C213" s="16" t="s">
        <v>19</v>
      </c>
      <c r="D213" s="16" t="s">
        <v>98</v>
      </c>
      <c r="E213" s="16" t="s">
        <v>78</v>
      </c>
      <c r="F213" s="36">
        <v>44704</v>
      </c>
      <c r="G213" s="37">
        <v>0.207496244</v>
      </c>
      <c r="H213" s="38" t="str">
        <f t="shared" si="9"/>
        <v>No</v>
      </c>
      <c r="I213" s="38" t="str">
        <f t="shared" si="10"/>
        <v>-</v>
      </c>
      <c r="J213" s="37">
        <v>0.37867519999999999</v>
      </c>
      <c r="K213" s="38" t="str">
        <f t="shared" si="11"/>
        <v>No</v>
      </c>
      <c r="L213" s="38" t="s">
        <v>110</v>
      </c>
      <c r="M213" s="1"/>
      <c r="N213" s="30"/>
      <c r="O213" s="31"/>
      <c r="P213" s="31"/>
      <c r="Q213" s="31"/>
      <c r="R213" s="31"/>
      <c r="S213" s="33"/>
    </row>
    <row r="214" spans="2:19" x14ac:dyDescent="0.2">
      <c r="B214" s="1"/>
      <c r="C214" s="16" t="s">
        <v>19</v>
      </c>
      <c r="D214" s="16" t="s">
        <v>99</v>
      </c>
      <c r="E214" s="16" t="s">
        <v>78</v>
      </c>
      <c r="F214" s="36">
        <v>44732</v>
      </c>
      <c r="G214" s="37">
        <v>4.8566600000000001E-2</v>
      </c>
      <c r="H214" s="38" t="str">
        <f t="shared" si="9"/>
        <v>No</v>
      </c>
      <c r="I214" s="38" t="str">
        <f t="shared" si="10"/>
        <v>-</v>
      </c>
      <c r="J214" s="37">
        <v>0.2340901</v>
      </c>
      <c r="K214" s="38" t="str">
        <f t="shared" si="11"/>
        <v>No</v>
      </c>
      <c r="L214" s="38" t="s">
        <v>110</v>
      </c>
      <c r="M214" s="1"/>
      <c r="N214" s="30"/>
      <c r="O214" s="31"/>
      <c r="P214" s="31"/>
      <c r="Q214" s="31"/>
      <c r="R214" s="31"/>
      <c r="S214" s="33"/>
    </row>
    <row r="215" spans="2:19" x14ac:dyDescent="0.2">
      <c r="B215" s="1"/>
      <c r="C215" s="16" t="s">
        <v>19</v>
      </c>
      <c r="D215" s="16" t="s">
        <v>100</v>
      </c>
      <c r="E215" s="16" t="s">
        <v>78</v>
      </c>
      <c r="F215" s="36">
        <v>44762</v>
      </c>
      <c r="G215" s="37">
        <v>0.186000262</v>
      </c>
      <c r="H215" s="38" t="str">
        <f t="shared" si="9"/>
        <v>No</v>
      </c>
      <c r="I215" s="38" t="str">
        <f t="shared" si="10"/>
        <v>-</v>
      </c>
      <c r="J215" s="37">
        <v>0.23613219999999999</v>
      </c>
      <c r="K215" s="38" t="str">
        <f t="shared" si="11"/>
        <v>No</v>
      </c>
      <c r="L215" s="38" t="s">
        <v>110</v>
      </c>
      <c r="M215" s="1"/>
      <c r="N215" s="30"/>
      <c r="O215" s="31"/>
      <c r="P215" s="31"/>
      <c r="Q215" s="31"/>
      <c r="R215" s="31"/>
      <c r="S215" s="33"/>
    </row>
    <row r="216" spans="2:19" x14ac:dyDescent="0.2">
      <c r="B216" s="1"/>
      <c r="C216" s="16" t="s">
        <v>19</v>
      </c>
      <c r="D216" s="16" t="s">
        <v>88</v>
      </c>
      <c r="E216" s="16" t="s">
        <v>78</v>
      </c>
      <c r="F216" s="36">
        <v>44813</v>
      </c>
      <c r="G216" s="37">
        <v>0.111318132</v>
      </c>
      <c r="H216" s="38" t="str">
        <f t="shared" si="9"/>
        <v>No</v>
      </c>
      <c r="I216" s="38" t="str">
        <f t="shared" si="10"/>
        <v>-</v>
      </c>
      <c r="J216" s="37">
        <v>0.24783150000000001</v>
      </c>
      <c r="K216" s="38" t="str">
        <f t="shared" si="11"/>
        <v>No</v>
      </c>
      <c r="L216" s="38" t="s">
        <v>110</v>
      </c>
      <c r="M216" s="1"/>
      <c r="N216" s="30"/>
      <c r="O216" s="31"/>
      <c r="P216" s="31"/>
      <c r="Q216" s="31"/>
      <c r="R216" s="31"/>
      <c r="S216" s="33"/>
    </row>
    <row r="217" spans="2:19" x14ac:dyDescent="0.2">
      <c r="B217" s="1"/>
      <c r="C217" s="13" t="s">
        <v>19</v>
      </c>
      <c r="D217" s="13" t="s">
        <v>89</v>
      </c>
      <c r="E217" s="13" t="s">
        <v>78</v>
      </c>
      <c r="F217" s="39">
        <v>44817</v>
      </c>
      <c r="G217" s="40">
        <v>0.74277667800000002</v>
      </c>
      <c r="H217" s="28" t="str">
        <f t="shared" si="9"/>
        <v>Yes</v>
      </c>
      <c r="I217" s="28">
        <v>52</v>
      </c>
      <c r="J217" s="40">
        <v>0.66462279999999996</v>
      </c>
      <c r="K217" s="28" t="str">
        <f t="shared" si="11"/>
        <v>Yes</v>
      </c>
      <c r="L217" s="28">
        <v>52</v>
      </c>
      <c r="M217" s="1"/>
      <c r="N217" s="30"/>
      <c r="O217" s="31"/>
      <c r="P217" s="31"/>
      <c r="Q217" s="31"/>
      <c r="R217" s="31"/>
      <c r="S217" s="33"/>
    </row>
    <row r="218" spans="2:19" x14ac:dyDescent="0.2">
      <c r="B218" s="1"/>
      <c r="C218" s="13" t="s">
        <v>19</v>
      </c>
      <c r="D218" s="13" t="s">
        <v>90</v>
      </c>
      <c r="E218" s="13" t="s">
        <v>78</v>
      </c>
      <c r="F218" s="39">
        <v>44845</v>
      </c>
      <c r="G218" s="40">
        <v>0.58095238100000002</v>
      </c>
      <c r="H218" s="28" t="str">
        <f t="shared" si="9"/>
        <v>Yes</v>
      </c>
      <c r="I218" s="28">
        <v>199</v>
      </c>
      <c r="J218" s="40">
        <v>0.3505315</v>
      </c>
      <c r="K218" s="28" t="str">
        <f t="shared" si="11"/>
        <v>No</v>
      </c>
      <c r="L218" s="28">
        <v>213</v>
      </c>
      <c r="M218" s="1"/>
      <c r="N218" s="30"/>
      <c r="O218" s="31"/>
      <c r="P218" s="31"/>
      <c r="Q218" s="31"/>
      <c r="R218" s="31"/>
      <c r="S218" s="33"/>
    </row>
    <row r="219" spans="2:19" x14ac:dyDescent="0.2">
      <c r="B219" s="1"/>
      <c r="C219" s="13" t="s">
        <v>19</v>
      </c>
      <c r="D219" s="13" t="s">
        <v>91</v>
      </c>
      <c r="E219" s="13" t="s">
        <v>78</v>
      </c>
      <c r="F219" s="39">
        <v>44923</v>
      </c>
      <c r="G219" s="40">
        <v>0.816130931</v>
      </c>
      <c r="H219" s="28" t="str">
        <f t="shared" si="9"/>
        <v>Yes</v>
      </c>
      <c r="I219" s="28">
        <v>39</v>
      </c>
      <c r="J219" s="40">
        <v>0.59552879999999997</v>
      </c>
      <c r="K219" s="28" t="str">
        <f t="shared" si="11"/>
        <v>Yes</v>
      </c>
      <c r="L219" s="28">
        <v>38</v>
      </c>
      <c r="M219" s="1"/>
      <c r="N219" s="30"/>
      <c r="O219" s="31"/>
      <c r="P219" s="31"/>
      <c r="Q219" s="31"/>
      <c r="R219" s="31"/>
      <c r="S219" s="33"/>
    </row>
    <row r="220" spans="2:19" x14ac:dyDescent="0.2">
      <c r="B220" s="1"/>
      <c r="C220" s="13" t="s">
        <v>1</v>
      </c>
      <c r="D220" s="13" t="s">
        <v>105</v>
      </c>
      <c r="E220" s="13" t="s">
        <v>78</v>
      </c>
      <c r="F220" s="39">
        <v>44562</v>
      </c>
      <c r="G220" s="40">
        <v>0.60778656200000003</v>
      </c>
      <c r="H220" s="28" t="str">
        <f t="shared" si="9"/>
        <v>Yes</v>
      </c>
      <c r="I220" s="28">
        <v>30</v>
      </c>
      <c r="J220" s="40">
        <v>0.74154039999999999</v>
      </c>
      <c r="K220" s="28" t="str">
        <f t="shared" si="11"/>
        <v>Yes</v>
      </c>
      <c r="L220" s="28">
        <v>29</v>
      </c>
      <c r="M220" s="1"/>
      <c r="N220" s="30"/>
      <c r="O220" s="31"/>
      <c r="P220" s="31"/>
      <c r="Q220" s="31"/>
      <c r="R220" s="31"/>
      <c r="S220" s="33"/>
    </row>
    <row r="221" spans="2:19" x14ac:dyDescent="0.2">
      <c r="B221" s="1"/>
      <c r="C221" s="16" t="s">
        <v>1</v>
      </c>
      <c r="D221" s="16" t="s">
        <v>103</v>
      </c>
      <c r="E221" s="16" t="s">
        <v>78</v>
      </c>
      <c r="F221" s="36">
        <v>44579</v>
      </c>
      <c r="G221" s="37">
        <v>8.3409329000000004E-2</v>
      </c>
      <c r="H221" s="38" t="str">
        <f t="shared" si="9"/>
        <v>No</v>
      </c>
      <c r="I221" s="38" t="str">
        <f t="shared" si="10"/>
        <v>-</v>
      </c>
      <c r="J221" s="37">
        <v>0.24631459999999999</v>
      </c>
      <c r="K221" s="38" t="str">
        <f t="shared" si="11"/>
        <v>No</v>
      </c>
      <c r="L221" s="38" t="s">
        <v>110</v>
      </c>
      <c r="M221" s="1"/>
      <c r="N221" s="30"/>
      <c r="O221" s="31"/>
      <c r="P221" s="31"/>
      <c r="Q221" s="31"/>
      <c r="R221" s="31"/>
      <c r="S221" s="33"/>
    </row>
    <row r="222" spans="2:19" x14ac:dyDescent="0.2">
      <c r="B222" s="1"/>
      <c r="C222" s="16" t="s">
        <v>1</v>
      </c>
      <c r="D222" s="16" t="s">
        <v>92</v>
      </c>
      <c r="E222" s="16" t="s">
        <v>78</v>
      </c>
      <c r="F222" s="36">
        <v>44568</v>
      </c>
      <c r="G222" s="37">
        <v>0.16456976300000001</v>
      </c>
      <c r="H222" s="38" t="str">
        <f t="shared" si="9"/>
        <v>No</v>
      </c>
      <c r="I222" s="38" t="str">
        <f t="shared" si="10"/>
        <v>-</v>
      </c>
      <c r="J222" s="37">
        <v>0.36133690000000002</v>
      </c>
      <c r="K222" s="38" t="str">
        <f t="shared" si="11"/>
        <v>No</v>
      </c>
      <c r="L222" s="38" t="s">
        <v>110</v>
      </c>
      <c r="M222" s="1"/>
      <c r="N222" s="30"/>
      <c r="O222" s="31"/>
      <c r="P222" s="31"/>
      <c r="Q222" s="31"/>
      <c r="R222" s="31"/>
      <c r="S222" s="33"/>
    </row>
    <row r="223" spans="2:19" x14ac:dyDescent="0.2">
      <c r="B223" s="1"/>
      <c r="C223" s="16" t="s">
        <v>1</v>
      </c>
      <c r="D223" s="16" t="s">
        <v>93</v>
      </c>
      <c r="E223" s="16" t="s">
        <v>78</v>
      </c>
      <c r="F223" s="36">
        <v>44676</v>
      </c>
      <c r="G223" s="37">
        <v>0.140650567</v>
      </c>
      <c r="H223" s="38" t="str">
        <f t="shared" si="9"/>
        <v>No</v>
      </c>
      <c r="I223" s="38" t="str">
        <f t="shared" si="10"/>
        <v>-</v>
      </c>
      <c r="J223" s="37">
        <v>0.22509489999999999</v>
      </c>
      <c r="K223" s="38" t="str">
        <f t="shared" si="11"/>
        <v>No</v>
      </c>
      <c r="L223" s="38" t="s">
        <v>110</v>
      </c>
      <c r="M223" s="1"/>
      <c r="N223" s="30"/>
      <c r="O223" s="31"/>
      <c r="P223" s="31"/>
      <c r="Q223" s="31"/>
      <c r="R223" s="31"/>
      <c r="S223" s="33"/>
    </row>
    <row r="224" spans="2:19" x14ac:dyDescent="0.2">
      <c r="B224" s="1"/>
      <c r="C224" s="16" t="s">
        <v>1</v>
      </c>
      <c r="D224" s="16" t="s">
        <v>94</v>
      </c>
      <c r="E224" s="16" t="s">
        <v>78</v>
      </c>
      <c r="F224" s="36">
        <v>44671</v>
      </c>
      <c r="G224" s="37">
        <v>0.13789684299999999</v>
      </c>
      <c r="H224" s="38" t="str">
        <f t="shared" si="9"/>
        <v>No</v>
      </c>
      <c r="I224" s="38" t="str">
        <f t="shared" si="10"/>
        <v>-</v>
      </c>
      <c r="J224" s="37">
        <v>0.41249190000000002</v>
      </c>
      <c r="K224" s="38" t="str">
        <f t="shared" si="11"/>
        <v>No</v>
      </c>
      <c r="L224" s="38" t="s">
        <v>110</v>
      </c>
      <c r="M224" s="1"/>
      <c r="N224" s="30"/>
      <c r="O224" s="31"/>
      <c r="P224" s="31"/>
      <c r="Q224" s="31"/>
      <c r="R224" s="31"/>
      <c r="S224" s="33"/>
    </row>
    <row r="225" spans="2:19" x14ac:dyDescent="0.2">
      <c r="B225" s="1"/>
      <c r="C225" s="16" t="s">
        <v>1</v>
      </c>
      <c r="D225" s="16" t="s">
        <v>95</v>
      </c>
      <c r="E225" s="16" t="s">
        <v>78</v>
      </c>
      <c r="F225" s="36">
        <v>44677</v>
      </c>
      <c r="G225" s="37">
        <v>0.16742248500000001</v>
      </c>
      <c r="H225" s="38" t="str">
        <f t="shared" si="9"/>
        <v>No</v>
      </c>
      <c r="I225" s="38" t="str">
        <f t="shared" si="10"/>
        <v>-</v>
      </c>
      <c r="J225" s="37">
        <v>0.19120139999999999</v>
      </c>
      <c r="K225" s="38" t="str">
        <f t="shared" si="11"/>
        <v>No</v>
      </c>
      <c r="L225" s="38" t="s">
        <v>110</v>
      </c>
      <c r="M225" s="1"/>
      <c r="N225" s="30"/>
      <c r="O225" s="31"/>
      <c r="P225" s="31"/>
      <c r="Q225" s="31"/>
      <c r="R225" s="31"/>
      <c r="S225" s="33"/>
    </row>
    <row r="226" spans="2:19" x14ac:dyDescent="0.2">
      <c r="B226" s="1"/>
      <c r="C226" s="16" t="s">
        <v>1</v>
      </c>
      <c r="D226" s="16" t="s">
        <v>96</v>
      </c>
      <c r="E226" s="16" t="s">
        <v>78</v>
      </c>
      <c r="F226" s="36">
        <v>44698</v>
      </c>
      <c r="G226" s="37">
        <v>0.16011866</v>
      </c>
      <c r="H226" s="38" t="str">
        <f t="shared" si="9"/>
        <v>No</v>
      </c>
      <c r="I226" s="38" t="str">
        <f t="shared" si="10"/>
        <v>-</v>
      </c>
      <c r="J226" s="37">
        <v>0.24012810000000001</v>
      </c>
      <c r="K226" s="38" t="str">
        <f t="shared" si="11"/>
        <v>No</v>
      </c>
      <c r="L226" s="38" t="s">
        <v>110</v>
      </c>
      <c r="M226" s="1"/>
      <c r="N226" s="30"/>
      <c r="O226" s="31"/>
      <c r="P226" s="31"/>
      <c r="Q226" s="31"/>
      <c r="R226" s="31"/>
      <c r="S226" s="33"/>
    </row>
    <row r="227" spans="2:19" x14ac:dyDescent="0.2">
      <c r="B227" s="1"/>
      <c r="C227" s="16" t="s">
        <v>1</v>
      </c>
      <c r="D227" s="16" t="s">
        <v>97</v>
      </c>
      <c r="E227" s="16" t="s">
        <v>78</v>
      </c>
      <c r="F227" s="36">
        <v>44684</v>
      </c>
      <c r="G227" s="37">
        <v>6.2748465000000003E-2</v>
      </c>
      <c r="H227" s="38" t="str">
        <f t="shared" si="9"/>
        <v>No</v>
      </c>
      <c r="I227" s="38" t="str">
        <f t="shared" si="10"/>
        <v>-</v>
      </c>
      <c r="J227" s="37">
        <v>0.28736850000000003</v>
      </c>
      <c r="K227" s="38" t="str">
        <f t="shared" si="11"/>
        <v>No</v>
      </c>
      <c r="L227" s="38" t="s">
        <v>110</v>
      </c>
      <c r="M227" s="1"/>
      <c r="N227" s="30"/>
      <c r="O227" s="31"/>
      <c r="P227" s="31"/>
      <c r="Q227" s="31"/>
      <c r="R227" s="31"/>
      <c r="S227" s="33"/>
    </row>
    <row r="228" spans="2:19" x14ac:dyDescent="0.2">
      <c r="B228" s="1"/>
      <c r="C228" s="16" t="s">
        <v>1</v>
      </c>
      <c r="D228" s="16" t="s">
        <v>98</v>
      </c>
      <c r="E228" s="16" t="s">
        <v>78</v>
      </c>
      <c r="F228" s="36">
        <v>44683</v>
      </c>
      <c r="G228" s="37">
        <v>6.0019148000000001E-2</v>
      </c>
      <c r="H228" s="38" t="str">
        <f t="shared" si="9"/>
        <v>No</v>
      </c>
      <c r="I228" s="38" t="str">
        <f t="shared" si="10"/>
        <v>-</v>
      </c>
      <c r="J228" s="37">
        <v>0.1905983</v>
      </c>
      <c r="K228" s="38" t="str">
        <f t="shared" si="11"/>
        <v>No</v>
      </c>
      <c r="L228" s="38" t="s">
        <v>110</v>
      </c>
      <c r="M228" s="1"/>
      <c r="N228" s="30"/>
      <c r="O228" s="31"/>
      <c r="P228" s="31"/>
      <c r="Q228" s="31"/>
      <c r="R228" s="31"/>
      <c r="S228" s="33"/>
    </row>
    <row r="229" spans="2:19" x14ac:dyDescent="0.2">
      <c r="B229" s="1"/>
      <c r="C229" s="16" t="s">
        <v>1</v>
      </c>
      <c r="D229" s="16" t="s">
        <v>99</v>
      </c>
      <c r="E229" s="16" t="s">
        <v>78</v>
      </c>
      <c r="F229" s="36">
        <v>44719</v>
      </c>
      <c r="G229" s="37">
        <v>3.0291190999999999E-2</v>
      </c>
      <c r="H229" s="38" t="str">
        <f t="shared" si="9"/>
        <v>No</v>
      </c>
      <c r="I229" s="38" t="str">
        <f t="shared" si="10"/>
        <v>-</v>
      </c>
      <c r="J229" s="37">
        <v>0.1902807</v>
      </c>
      <c r="K229" s="38" t="str">
        <f t="shared" si="11"/>
        <v>No</v>
      </c>
      <c r="L229" s="38" t="s">
        <v>110</v>
      </c>
      <c r="M229" s="1"/>
      <c r="N229" s="30"/>
      <c r="O229" s="31"/>
      <c r="P229" s="31"/>
      <c r="Q229" s="31"/>
      <c r="R229" s="31"/>
      <c r="S229" s="33"/>
    </row>
    <row r="230" spans="2:19" x14ac:dyDescent="0.2">
      <c r="B230" s="1"/>
      <c r="C230" s="16" t="s">
        <v>1</v>
      </c>
      <c r="D230" s="16" t="s">
        <v>100</v>
      </c>
      <c r="E230" s="16" t="s">
        <v>78</v>
      </c>
      <c r="F230" s="36">
        <v>44760</v>
      </c>
      <c r="G230" s="37">
        <v>0.111483845</v>
      </c>
      <c r="H230" s="38" t="str">
        <f t="shared" si="9"/>
        <v>No</v>
      </c>
      <c r="I230" s="38" t="str">
        <f t="shared" si="10"/>
        <v>-</v>
      </c>
      <c r="J230" s="37">
        <v>0.20112579999999999</v>
      </c>
      <c r="K230" s="38" t="str">
        <f t="shared" si="11"/>
        <v>No</v>
      </c>
      <c r="L230" s="38" t="s">
        <v>110</v>
      </c>
      <c r="M230" s="1"/>
      <c r="N230" s="30"/>
      <c r="O230" s="31"/>
      <c r="P230" s="31"/>
      <c r="Q230" s="31"/>
      <c r="R230" s="31"/>
      <c r="S230" s="33"/>
    </row>
    <row r="231" spans="2:19" x14ac:dyDescent="0.2">
      <c r="B231" s="1"/>
      <c r="C231" s="16" t="s">
        <v>1</v>
      </c>
      <c r="D231" s="16" t="s">
        <v>86</v>
      </c>
      <c r="E231" s="16" t="s">
        <v>78</v>
      </c>
      <c r="F231" s="36">
        <v>44663</v>
      </c>
      <c r="G231" s="37">
        <v>5.4108920999999997E-2</v>
      </c>
      <c r="H231" s="38" t="str">
        <f t="shared" si="9"/>
        <v>No</v>
      </c>
      <c r="I231" s="38" t="str">
        <f t="shared" si="10"/>
        <v>-</v>
      </c>
      <c r="J231" s="37">
        <v>0.25079040000000002</v>
      </c>
      <c r="K231" s="38" t="str">
        <f t="shared" si="11"/>
        <v>No</v>
      </c>
      <c r="L231" s="38" t="s">
        <v>110</v>
      </c>
      <c r="M231" s="1"/>
      <c r="N231" s="30"/>
      <c r="O231" s="31"/>
      <c r="P231" s="31"/>
      <c r="Q231" s="31"/>
      <c r="R231" s="31"/>
      <c r="S231" s="33"/>
    </row>
    <row r="232" spans="2:19" x14ac:dyDescent="0.2">
      <c r="B232" s="1"/>
      <c r="C232" s="16" t="s">
        <v>1</v>
      </c>
      <c r="D232" s="16" t="s">
        <v>87</v>
      </c>
      <c r="E232" s="16" t="s">
        <v>78</v>
      </c>
      <c r="F232" s="36">
        <v>44824</v>
      </c>
      <c r="G232" s="37">
        <v>4.6822717E-2</v>
      </c>
      <c r="H232" s="38" t="str">
        <f t="shared" si="9"/>
        <v>No</v>
      </c>
      <c r="I232" s="38" t="str">
        <f t="shared" si="10"/>
        <v>-</v>
      </c>
      <c r="J232" s="37">
        <v>0.44611479999999998</v>
      </c>
      <c r="K232" s="38" t="str">
        <f t="shared" si="11"/>
        <v>No</v>
      </c>
      <c r="L232" s="38" t="s">
        <v>110</v>
      </c>
      <c r="M232" s="1"/>
      <c r="N232" s="30"/>
      <c r="O232" s="31"/>
      <c r="P232" s="31"/>
      <c r="Q232" s="31"/>
      <c r="R232" s="31"/>
      <c r="S232" s="33"/>
    </row>
    <row r="233" spans="2:19" x14ac:dyDescent="0.2">
      <c r="B233" s="1"/>
      <c r="C233" s="16" t="s">
        <v>1</v>
      </c>
      <c r="D233" s="16" t="s">
        <v>88</v>
      </c>
      <c r="E233" s="16" t="s">
        <v>78</v>
      </c>
      <c r="F233" s="36">
        <v>44851</v>
      </c>
      <c r="G233" s="37">
        <v>8.0589174E-2</v>
      </c>
      <c r="H233" s="38" t="str">
        <f t="shared" si="9"/>
        <v>No</v>
      </c>
      <c r="I233" s="38" t="str">
        <f t="shared" si="10"/>
        <v>-</v>
      </c>
      <c r="J233" s="37">
        <v>0.2205502</v>
      </c>
      <c r="K233" s="38" t="str">
        <f t="shared" si="11"/>
        <v>No</v>
      </c>
      <c r="L233" s="38" t="s">
        <v>110</v>
      </c>
      <c r="M233" s="1"/>
      <c r="N233" s="30"/>
      <c r="O233" s="31"/>
      <c r="P233" s="31"/>
      <c r="Q233" s="31"/>
      <c r="R233" s="31"/>
      <c r="S233" s="33"/>
    </row>
    <row r="234" spans="2:19" x14ac:dyDescent="0.2">
      <c r="B234" s="1"/>
      <c r="C234" s="16" t="s">
        <v>1</v>
      </c>
      <c r="D234" s="16" t="s">
        <v>89</v>
      </c>
      <c r="E234" s="16" t="s">
        <v>78</v>
      </c>
      <c r="F234" s="36">
        <v>44767</v>
      </c>
      <c r="G234" s="37">
        <v>0.25169725599999998</v>
      </c>
      <c r="H234" s="38" t="str">
        <f t="shared" si="9"/>
        <v>No</v>
      </c>
      <c r="I234" s="38" t="str">
        <f t="shared" si="10"/>
        <v>-</v>
      </c>
      <c r="J234" s="37">
        <v>0.2266109</v>
      </c>
      <c r="K234" s="38" t="str">
        <f t="shared" si="11"/>
        <v>No</v>
      </c>
      <c r="L234" s="38" t="s">
        <v>110</v>
      </c>
      <c r="M234" s="1"/>
      <c r="N234" s="30"/>
      <c r="O234" s="31"/>
      <c r="P234" s="31"/>
      <c r="Q234" s="31"/>
      <c r="R234" s="31"/>
      <c r="S234" s="33"/>
    </row>
    <row r="235" spans="2:19" x14ac:dyDescent="0.2">
      <c r="B235" s="1"/>
      <c r="C235" s="16" t="s">
        <v>1</v>
      </c>
      <c r="D235" s="16" t="s">
        <v>104</v>
      </c>
      <c r="E235" s="16" t="s">
        <v>78</v>
      </c>
      <c r="F235" s="36">
        <v>44832</v>
      </c>
      <c r="G235" s="37">
        <v>2.1574482999999998E-2</v>
      </c>
      <c r="H235" s="38" t="str">
        <f t="shared" si="9"/>
        <v>No</v>
      </c>
      <c r="I235" s="38" t="str">
        <f t="shared" si="10"/>
        <v>-</v>
      </c>
      <c r="J235" s="37">
        <v>0.19602610000000001</v>
      </c>
      <c r="K235" s="38" t="str">
        <f t="shared" si="11"/>
        <v>No</v>
      </c>
      <c r="L235" s="38" t="s">
        <v>110</v>
      </c>
      <c r="M235" s="1"/>
      <c r="N235" s="30"/>
      <c r="O235" s="31"/>
      <c r="P235" s="31"/>
      <c r="Q235" s="31"/>
      <c r="R235" s="31"/>
      <c r="S235" s="33"/>
    </row>
    <row r="236" spans="2:19" x14ac:dyDescent="0.2">
      <c r="B236" s="1"/>
      <c r="C236" s="16" t="s">
        <v>1</v>
      </c>
      <c r="D236" s="16" t="s">
        <v>90</v>
      </c>
      <c r="E236" s="16" t="s">
        <v>78</v>
      </c>
      <c r="F236" s="36">
        <v>44845</v>
      </c>
      <c r="G236" s="37">
        <v>0.29649398199999999</v>
      </c>
      <c r="H236" s="38" t="str">
        <f t="shared" si="9"/>
        <v>No</v>
      </c>
      <c r="I236" s="38" t="str">
        <f t="shared" si="10"/>
        <v>-</v>
      </c>
      <c r="J236" s="37">
        <v>0.25662859999999998</v>
      </c>
      <c r="K236" s="38" t="str">
        <f t="shared" si="11"/>
        <v>No</v>
      </c>
      <c r="L236" s="38" t="s">
        <v>110</v>
      </c>
      <c r="M236" s="1"/>
      <c r="N236" s="30"/>
      <c r="O236" s="31"/>
      <c r="P236" s="31"/>
      <c r="Q236" s="31"/>
      <c r="R236" s="31"/>
      <c r="S236" s="33"/>
    </row>
    <row r="237" spans="2:19" ht="16" thickBot="1" x14ac:dyDescent="0.25">
      <c r="B237" s="1"/>
      <c r="C237" s="15" t="s">
        <v>1</v>
      </c>
      <c r="D237" s="15" t="s">
        <v>91</v>
      </c>
      <c r="E237" s="15" t="s">
        <v>78</v>
      </c>
      <c r="F237" s="45">
        <v>44909</v>
      </c>
      <c r="G237" s="46">
        <v>0.97690707399999999</v>
      </c>
      <c r="H237" s="29" t="str">
        <f t="shared" si="9"/>
        <v>Yes</v>
      </c>
      <c r="I237" s="29">
        <v>67</v>
      </c>
      <c r="J237" s="46">
        <v>0.58585580000000004</v>
      </c>
      <c r="K237" s="29" t="str">
        <f t="shared" si="11"/>
        <v>Yes</v>
      </c>
      <c r="L237" s="29">
        <v>67</v>
      </c>
      <c r="M237" s="1"/>
    </row>
    <row r="238" spans="2:19" x14ac:dyDescent="0.2">
      <c r="B238" s="1"/>
      <c r="C238" s="1"/>
      <c r="D238" s="1"/>
      <c r="E238" s="1"/>
      <c r="F238" s="1"/>
      <c r="G238" s="34"/>
      <c r="H238" s="34"/>
      <c r="I238" s="34"/>
      <c r="J238" s="34"/>
      <c r="K238" s="34"/>
      <c r="L238" s="34"/>
      <c r="M238" s="1"/>
    </row>
    <row r="239" spans="2:19" x14ac:dyDescent="0.2">
      <c r="B239" s="1"/>
      <c r="C239" s="1"/>
      <c r="D239" s="1"/>
      <c r="E239" s="1"/>
      <c r="F239" s="1"/>
      <c r="G239" s="34"/>
      <c r="H239" s="34"/>
      <c r="I239" s="34"/>
      <c r="J239" s="34"/>
      <c r="K239" s="34"/>
      <c r="L239" s="34"/>
      <c r="M239" s="1"/>
    </row>
    <row r="240" spans="2:19" x14ac:dyDescent="0.2">
      <c r="B240" s="1"/>
      <c r="C240" s="1"/>
      <c r="D240" s="1"/>
      <c r="E240" s="1"/>
      <c r="F240" s="1"/>
      <c r="G240" s="34"/>
      <c r="H240" s="34"/>
      <c r="I240" s="34"/>
      <c r="J240" s="34"/>
      <c r="K240" s="34"/>
      <c r="L240" s="34"/>
      <c r="M240" s="1"/>
    </row>
    <row r="241" spans="2:13" x14ac:dyDescent="0.2">
      <c r="B241" s="1"/>
      <c r="C241" s="1"/>
      <c r="D241" s="1"/>
      <c r="E241" s="1"/>
      <c r="F241" s="1"/>
      <c r="G241" s="34"/>
      <c r="H241" s="34"/>
      <c r="I241" s="34"/>
      <c r="J241" s="34"/>
      <c r="K241" s="34"/>
      <c r="L241" s="34"/>
      <c r="M241" s="1"/>
    </row>
    <row r="242" spans="2:13" x14ac:dyDescent="0.2">
      <c r="C242" s="1"/>
      <c r="D242" s="1"/>
      <c r="E242" s="1"/>
      <c r="F242" s="1"/>
      <c r="G242" s="34"/>
      <c r="H242" s="34"/>
      <c r="I242" s="34"/>
      <c r="J242" s="34"/>
      <c r="K242" s="34"/>
      <c r="L242" s="34"/>
      <c r="M242" s="1"/>
    </row>
  </sheetData>
  <mergeCells count="2">
    <mergeCell ref="G6:I6"/>
    <mergeCell ref="J6:L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89BF-3B6C-C140-AC0E-34BF6FE279EB}">
  <dimension ref="C1:I19"/>
  <sheetViews>
    <sheetView zoomScale="139" workbookViewId="0">
      <selection activeCell="L21" sqref="L21"/>
    </sheetView>
  </sheetViews>
  <sheetFormatPr baseColWidth="10" defaultRowHeight="15" x14ac:dyDescent="0.2"/>
  <cols>
    <col min="4" max="4" width="15.6640625" bestFit="1" customWidth="1"/>
    <col min="5" max="5" width="4.33203125" customWidth="1"/>
  </cols>
  <sheetData>
    <row r="1" spans="3:9" ht="16" thickBot="1" x14ac:dyDescent="0.25">
      <c r="C1" s="1"/>
      <c r="D1" s="4"/>
      <c r="E1" s="4"/>
      <c r="F1" s="4"/>
      <c r="G1" s="4"/>
      <c r="H1" s="4"/>
      <c r="I1" s="1"/>
    </row>
    <row r="2" spans="3:9" x14ac:dyDescent="0.2">
      <c r="C2" s="1"/>
      <c r="D2" s="23"/>
      <c r="E2" s="23"/>
      <c r="F2" s="57" t="s">
        <v>116</v>
      </c>
      <c r="G2" s="57"/>
      <c r="H2" s="57"/>
      <c r="I2" s="1"/>
    </row>
    <row r="3" spans="3:9" x14ac:dyDescent="0.2">
      <c r="C3" s="1"/>
      <c r="D3" s="25" t="s">
        <v>45</v>
      </c>
      <c r="E3" s="25"/>
      <c r="F3" s="27" t="s">
        <v>113</v>
      </c>
      <c r="G3" s="27" t="s">
        <v>114</v>
      </c>
      <c r="H3" s="27" t="s">
        <v>115</v>
      </c>
      <c r="I3" s="1"/>
    </row>
    <row r="4" spans="3:9" x14ac:dyDescent="0.2">
      <c r="C4" s="26"/>
      <c r="D4" s="13" t="s">
        <v>41</v>
      </c>
      <c r="E4" s="13"/>
      <c r="F4" s="48">
        <v>13.6</v>
      </c>
      <c r="G4" s="48">
        <v>9.8000000000000007</v>
      </c>
      <c r="H4" s="48">
        <v>10</v>
      </c>
      <c r="I4" s="1"/>
    </row>
    <row r="5" spans="3:9" x14ac:dyDescent="0.2">
      <c r="C5" s="26"/>
      <c r="D5" s="13" t="s">
        <v>107</v>
      </c>
      <c r="E5" s="13"/>
      <c r="F5" s="48">
        <v>21.1</v>
      </c>
      <c r="G5" s="48">
        <v>11.3</v>
      </c>
      <c r="H5" s="48">
        <v>11.5</v>
      </c>
      <c r="I5" s="1"/>
    </row>
    <row r="6" spans="3:9" x14ac:dyDescent="0.2">
      <c r="C6" s="26"/>
      <c r="D6" s="13" t="s">
        <v>14</v>
      </c>
      <c r="E6" s="13"/>
      <c r="F6" s="48">
        <v>18.899999999999999</v>
      </c>
      <c r="G6" s="48">
        <v>13.2</v>
      </c>
      <c r="H6" s="48">
        <v>9.6999999999999993</v>
      </c>
      <c r="I6" s="1"/>
    </row>
    <row r="7" spans="3:9" x14ac:dyDescent="0.2">
      <c r="C7" s="26"/>
      <c r="D7" s="13" t="s">
        <v>21</v>
      </c>
      <c r="E7" s="13"/>
      <c r="F7" s="48">
        <v>22</v>
      </c>
      <c r="G7" s="48">
        <v>10.1</v>
      </c>
      <c r="H7" s="48">
        <v>8.9</v>
      </c>
      <c r="I7" s="1"/>
    </row>
    <row r="8" spans="3:9" x14ac:dyDescent="0.2">
      <c r="C8" s="26"/>
      <c r="D8" s="13" t="s">
        <v>11</v>
      </c>
      <c r="E8" s="13"/>
      <c r="F8" s="48">
        <v>23.1</v>
      </c>
      <c r="G8" s="48">
        <v>19.7</v>
      </c>
      <c r="H8" s="48">
        <v>11.5</v>
      </c>
      <c r="I8" s="1"/>
    </row>
    <row r="9" spans="3:9" x14ac:dyDescent="0.2">
      <c r="C9" s="26"/>
      <c r="D9" s="13" t="s">
        <v>6</v>
      </c>
      <c r="E9" s="13"/>
      <c r="F9" s="48">
        <v>57</v>
      </c>
      <c r="G9" s="48">
        <v>34</v>
      </c>
      <c r="H9" s="48">
        <v>13.2</v>
      </c>
      <c r="I9" s="1"/>
    </row>
    <row r="10" spans="3:9" x14ac:dyDescent="0.2">
      <c r="C10" s="26"/>
      <c r="D10" s="13" t="s">
        <v>13</v>
      </c>
      <c r="E10" s="13"/>
      <c r="F10" s="48">
        <v>29.8</v>
      </c>
      <c r="G10" s="48">
        <v>13.2</v>
      </c>
      <c r="H10" s="48">
        <v>8</v>
      </c>
      <c r="I10" s="1"/>
    </row>
    <row r="11" spans="3:9" x14ac:dyDescent="0.2">
      <c r="C11" s="26"/>
      <c r="D11" s="13" t="s">
        <v>36</v>
      </c>
      <c r="E11" s="13"/>
      <c r="F11" s="48">
        <v>22.5</v>
      </c>
      <c r="G11" s="48">
        <v>15.5</v>
      </c>
      <c r="H11" s="48">
        <v>15.6</v>
      </c>
      <c r="I11" s="1"/>
    </row>
    <row r="12" spans="3:9" x14ac:dyDescent="0.2">
      <c r="C12" s="26"/>
      <c r="D12" s="13" t="s">
        <v>35</v>
      </c>
      <c r="E12" s="13"/>
      <c r="F12" s="48">
        <v>22.3</v>
      </c>
      <c r="G12" s="48">
        <v>15.1</v>
      </c>
      <c r="H12" s="48">
        <v>10</v>
      </c>
      <c r="I12" s="1"/>
    </row>
    <row r="13" spans="3:9" x14ac:dyDescent="0.2">
      <c r="C13" s="26"/>
      <c r="D13" s="13" t="s">
        <v>5</v>
      </c>
      <c r="E13" s="13"/>
      <c r="F13" s="28" t="s">
        <v>110</v>
      </c>
      <c r="G13" s="28" t="s">
        <v>110</v>
      </c>
      <c r="H13" s="28" t="s">
        <v>110</v>
      </c>
      <c r="I13" s="1"/>
    </row>
    <row r="14" spans="3:9" x14ac:dyDescent="0.2">
      <c r="C14" s="26"/>
      <c r="D14" s="13" t="s">
        <v>0</v>
      </c>
      <c r="E14" s="13"/>
      <c r="F14" s="28" t="s">
        <v>117</v>
      </c>
      <c r="G14" s="48">
        <v>28.1</v>
      </c>
      <c r="H14" s="48">
        <v>15.3</v>
      </c>
      <c r="I14" s="1"/>
    </row>
    <row r="15" spans="3:9" x14ac:dyDescent="0.2">
      <c r="C15" s="26"/>
      <c r="D15" s="13" t="s">
        <v>106</v>
      </c>
      <c r="E15" s="13"/>
      <c r="F15" s="28" t="s">
        <v>117</v>
      </c>
      <c r="G15" s="48">
        <v>11.2</v>
      </c>
      <c r="H15" s="48">
        <v>9.8000000000000007</v>
      </c>
      <c r="I15" s="1"/>
    </row>
    <row r="16" spans="3:9" x14ac:dyDescent="0.2">
      <c r="C16" s="26"/>
      <c r="D16" s="13" t="s">
        <v>15</v>
      </c>
      <c r="E16" s="13"/>
      <c r="F16" s="28" t="s">
        <v>117</v>
      </c>
      <c r="G16" s="48">
        <v>22.5</v>
      </c>
      <c r="H16" s="48">
        <v>17.399999999999999</v>
      </c>
      <c r="I16" s="1"/>
    </row>
    <row r="17" spans="3:9" x14ac:dyDescent="0.2">
      <c r="C17" s="26"/>
      <c r="D17" s="13" t="s">
        <v>19</v>
      </c>
      <c r="E17" s="13"/>
      <c r="F17" s="28" t="s">
        <v>117</v>
      </c>
      <c r="G17" s="28" t="s">
        <v>117</v>
      </c>
      <c r="H17" s="28">
        <v>14.9</v>
      </c>
      <c r="I17" s="1"/>
    </row>
    <row r="18" spans="3:9" ht="16" thickBot="1" x14ac:dyDescent="0.25">
      <c r="C18" s="26"/>
      <c r="D18" s="15" t="s">
        <v>1</v>
      </c>
      <c r="E18" s="15"/>
      <c r="F18" s="29">
        <v>13.1</v>
      </c>
      <c r="G18" s="29">
        <v>10.1</v>
      </c>
      <c r="H18" s="29">
        <v>10.199999999999999</v>
      </c>
      <c r="I18" s="1"/>
    </row>
    <row r="19" spans="3:9" x14ac:dyDescent="0.2">
      <c r="C19" s="1"/>
      <c r="D19" s="1"/>
      <c r="E19" s="1"/>
      <c r="F19" s="1"/>
      <c r="G19" s="1"/>
      <c r="H19" s="1"/>
      <c r="I19" s="1"/>
    </row>
  </sheetData>
  <mergeCells count="1"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0CF9-4224-3C41-9B86-94673783DBB8}">
  <dimension ref="B2:AC127"/>
  <sheetViews>
    <sheetView topLeftCell="A79" workbookViewId="0">
      <selection activeCell="K102" sqref="K102"/>
    </sheetView>
  </sheetViews>
  <sheetFormatPr baseColWidth="10" defaultRowHeight="15" x14ac:dyDescent="0.2"/>
  <cols>
    <col min="5" max="5" width="3.83203125" customWidth="1"/>
    <col min="9" max="9" width="3.83203125" customWidth="1"/>
    <col min="13" max="13" width="3.83203125" customWidth="1"/>
    <col min="17" max="17" width="3.83203125" customWidth="1"/>
  </cols>
  <sheetData>
    <row r="2" spans="2:29" x14ac:dyDescent="0.2">
      <c r="B2" s="13"/>
      <c r="C2" s="13" t="s">
        <v>131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2:29" ht="16" thickBot="1" x14ac:dyDescent="0.25">
      <c r="B3" s="1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3"/>
    </row>
    <row r="4" spans="2:29" x14ac:dyDescent="0.2">
      <c r="B4" s="13"/>
      <c r="C4" s="13"/>
      <c r="D4" s="13"/>
      <c r="E4" s="13"/>
      <c r="F4" s="58" t="s">
        <v>118</v>
      </c>
      <c r="G4" s="58"/>
      <c r="H4" s="58"/>
      <c r="I4" s="14"/>
      <c r="J4" s="58" t="s">
        <v>119</v>
      </c>
      <c r="K4" s="58"/>
      <c r="L4" s="58"/>
      <c r="M4" s="14"/>
      <c r="N4" s="58" t="s">
        <v>120</v>
      </c>
      <c r="O4" s="58"/>
      <c r="P4" s="58"/>
      <c r="Q4" s="14"/>
      <c r="R4" s="58" t="s">
        <v>121</v>
      </c>
      <c r="S4" s="58"/>
      <c r="T4" s="58"/>
      <c r="U4" s="13"/>
    </row>
    <row r="5" spans="2:29" x14ac:dyDescent="0.2">
      <c r="B5" s="13"/>
      <c r="C5" s="25" t="s">
        <v>55</v>
      </c>
      <c r="D5" s="25" t="s">
        <v>71</v>
      </c>
      <c r="E5" s="25"/>
      <c r="F5" s="25" t="s">
        <v>54</v>
      </c>
      <c r="G5" s="25" t="s">
        <v>122</v>
      </c>
      <c r="H5" s="25" t="s">
        <v>123</v>
      </c>
      <c r="I5" s="25"/>
      <c r="J5" s="25" t="s">
        <v>54</v>
      </c>
      <c r="K5" s="25" t="s">
        <v>122</v>
      </c>
      <c r="L5" s="25" t="s">
        <v>123</v>
      </c>
      <c r="M5" s="25"/>
      <c r="N5" s="25" t="s">
        <v>54</v>
      </c>
      <c r="O5" s="25" t="s">
        <v>122</v>
      </c>
      <c r="P5" s="25" t="s">
        <v>123</v>
      </c>
      <c r="Q5" s="25"/>
      <c r="R5" s="25" t="s">
        <v>54</v>
      </c>
      <c r="S5" s="25" t="s">
        <v>122</v>
      </c>
      <c r="T5" s="25" t="s">
        <v>123</v>
      </c>
      <c r="U5" s="13"/>
    </row>
    <row r="6" spans="2:29" x14ac:dyDescent="0.2">
      <c r="B6" s="13"/>
      <c r="C6" s="59">
        <v>1</v>
      </c>
      <c r="D6" s="13" t="s">
        <v>124</v>
      </c>
      <c r="E6" s="13"/>
      <c r="F6" s="24">
        <v>22.97</v>
      </c>
      <c r="G6" s="24">
        <v>527.57249999999999</v>
      </c>
      <c r="H6" s="24">
        <v>0.17</v>
      </c>
      <c r="I6" s="24"/>
      <c r="J6" s="24">
        <v>15.84</v>
      </c>
      <c r="K6" s="24">
        <v>250.95</v>
      </c>
      <c r="L6" s="24">
        <v>0.78</v>
      </c>
      <c r="M6" s="24"/>
      <c r="N6" s="24">
        <v>11.484999999999999</v>
      </c>
      <c r="O6" s="24">
        <v>131.94499999999999</v>
      </c>
      <c r="P6" s="24">
        <v>0.68</v>
      </c>
      <c r="Q6" s="24"/>
      <c r="R6" s="24">
        <v>14.51</v>
      </c>
      <c r="S6" s="24">
        <v>210.48249999999999</v>
      </c>
      <c r="T6" s="24">
        <v>0.72</v>
      </c>
      <c r="U6" s="13"/>
      <c r="V6" s="30"/>
      <c r="W6" s="31"/>
      <c r="X6" s="31"/>
      <c r="Y6" s="31"/>
      <c r="Z6" s="31"/>
      <c r="AA6" s="31"/>
      <c r="AB6" s="31"/>
      <c r="AC6" s="31"/>
    </row>
    <row r="7" spans="2:29" x14ac:dyDescent="0.2">
      <c r="B7" s="13"/>
      <c r="C7" s="59"/>
      <c r="D7" s="13" t="s">
        <v>77</v>
      </c>
      <c r="E7" s="13"/>
      <c r="F7" s="24">
        <v>11.824999999999999</v>
      </c>
      <c r="G7" s="24">
        <v>139.78749999999999</v>
      </c>
      <c r="H7" s="24">
        <v>0.54</v>
      </c>
      <c r="I7" s="24"/>
      <c r="J7" s="24">
        <v>15.7</v>
      </c>
      <c r="K7" s="24">
        <v>246.55250000000001</v>
      </c>
      <c r="L7" s="24">
        <v>0.59</v>
      </c>
      <c r="M7" s="24"/>
      <c r="N7" s="24">
        <v>13.835000000000001</v>
      </c>
      <c r="O7" s="24">
        <v>191.4075</v>
      </c>
      <c r="P7" s="24">
        <v>0.55000000000000004</v>
      </c>
      <c r="Q7" s="24"/>
      <c r="R7" s="24">
        <v>9.7550000000000008</v>
      </c>
      <c r="S7" s="24">
        <v>95.165000000000006</v>
      </c>
      <c r="T7" s="24">
        <v>0.75</v>
      </c>
      <c r="U7" s="13"/>
      <c r="V7" s="30"/>
      <c r="W7" s="31"/>
      <c r="X7" s="31"/>
      <c r="Y7" s="31"/>
      <c r="Z7" s="31"/>
      <c r="AA7" s="31"/>
      <c r="AB7" s="31"/>
      <c r="AC7" s="31"/>
    </row>
    <row r="8" spans="2:29" x14ac:dyDescent="0.2">
      <c r="B8" s="13"/>
      <c r="C8" s="59"/>
      <c r="D8" s="13" t="s">
        <v>125</v>
      </c>
      <c r="E8" s="13"/>
      <c r="F8" s="24">
        <v>38.47</v>
      </c>
      <c r="G8" s="24">
        <v>1480.0975000000001</v>
      </c>
      <c r="H8" s="24">
        <v>0.3</v>
      </c>
      <c r="I8" s="24"/>
      <c r="J8" s="24">
        <v>12.505000000000001</v>
      </c>
      <c r="K8" s="24">
        <v>156.42750000000001</v>
      </c>
      <c r="L8" s="24">
        <v>0.49</v>
      </c>
      <c r="M8" s="24"/>
      <c r="N8" s="24">
        <v>15.955</v>
      </c>
      <c r="O8" s="24">
        <v>254.495</v>
      </c>
      <c r="P8" s="24">
        <v>0.51</v>
      </c>
      <c r="Q8" s="24"/>
      <c r="R8" s="24">
        <v>10.27</v>
      </c>
      <c r="S8" s="24">
        <v>105.4225</v>
      </c>
      <c r="T8" s="24">
        <v>0.72</v>
      </c>
      <c r="U8" s="13"/>
      <c r="V8" s="30"/>
      <c r="W8" s="31"/>
      <c r="X8" s="31"/>
      <c r="Y8" s="31"/>
      <c r="Z8" s="31"/>
      <c r="AA8" s="31"/>
      <c r="AB8" s="31"/>
      <c r="AC8" s="31"/>
    </row>
    <row r="9" spans="2:29" x14ac:dyDescent="0.2">
      <c r="B9" s="13"/>
      <c r="C9" s="59"/>
      <c r="D9" s="13" t="s">
        <v>75</v>
      </c>
      <c r="E9" s="13"/>
      <c r="F9" s="24">
        <v>22.114999999999998</v>
      </c>
      <c r="G9" s="24">
        <v>489.00749999999999</v>
      </c>
      <c r="H9" s="24">
        <v>0.53</v>
      </c>
      <c r="I9" s="24"/>
      <c r="J9" s="24">
        <v>11.06</v>
      </c>
      <c r="K9" s="24">
        <v>122.3775</v>
      </c>
      <c r="L9" s="24">
        <v>0.86</v>
      </c>
      <c r="M9" s="24"/>
      <c r="N9" s="24">
        <v>57.174999999999997</v>
      </c>
      <c r="O9" s="24">
        <v>3269.0974999999999</v>
      </c>
      <c r="P9" s="24">
        <v>0.39</v>
      </c>
      <c r="Q9" s="24"/>
      <c r="R9" s="24">
        <v>7.51</v>
      </c>
      <c r="S9" s="24">
        <v>56.417499999999997</v>
      </c>
      <c r="T9" s="24">
        <v>0.74</v>
      </c>
      <c r="U9" s="13"/>
      <c r="V9" s="30"/>
      <c r="W9" s="31"/>
      <c r="X9" s="31"/>
      <c r="Y9" s="31"/>
      <c r="Z9" s="31"/>
      <c r="AA9" s="31"/>
      <c r="AB9" s="31"/>
      <c r="AC9" s="31"/>
    </row>
    <row r="10" spans="2:29" x14ac:dyDescent="0.2">
      <c r="B10" s="13"/>
      <c r="C10" s="59"/>
      <c r="D10" s="13" t="s">
        <v>126</v>
      </c>
      <c r="E10" s="13"/>
      <c r="F10" s="24">
        <v>13.395</v>
      </c>
      <c r="G10" s="24">
        <v>179.44</v>
      </c>
      <c r="H10" s="24">
        <v>0.49</v>
      </c>
      <c r="I10" s="24"/>
      <c r="J10" s="24">
        <v>20.13</v>
      </c>
      <c r="K10" s="24">
        <v>405.20749999999998</v>
      </c>
      <c r="L10" s="24">
        <v>0.46</v>
      </c>
      <c r="M10" s="24"/>
      <c r="N10" s="24">
        <v>14.315</v>
      </c>
      <c r="O10" s="24">
        <v>204.875</v>
      </c>
      <c r="P10" s="24">
        <v>0.63</v>
      </c>
      <c r="Q10" s="24"/>
      <c r="R10" s="24">
        <v>12.195</v>
      </c>
      <c r="S10" s="24">
        <v>148.745</v>
      </c>
      <c r="T10" s="24">
        <v>0.83</v>
      </c>
      <c r="U10" s="13"/>
      <c r="V10" s="30"/>
      <c r="W10" s="31"/>
      <c r="X10" s="31"/>
      <c r="Y10" s="31"/>
      <c r="Z10" s="31"/>
      <c r="AA10" s="31"/>
      <c r="AB10" s="31"/>
      <c r="AC10" s="31"/>
    </row>
    <row r="11" spans="2:29" x14ac:dyDescent="0.2">
      <c r="B11" s="13"/>
      <c r="C11" s="59"/>
      <c r="D11" s="13" t="s">
        <v>127</v>
      </c>
      <c r="E11" s="13"/>
      <c r="F11" s="24">
        <v>15.51</v>
      </c>
      <c r="G11" s="24">
        <v>240.55500000000001</v>
      </c>
      <c r="H11" s="24">
        <v>0.52</v>
      </c>
      <c r="I11" s="24"/>
      <c r="J11" s="24">
        <v>19.21</v>
      </c>
      <c r="K11" s="24">
        <v>369.03750000000002</v>
      </c>
      <c r="L11" s="24">
        <v>0.7</v>
      </c>
      <c r="M11" s="24"/>
      <c r="N11" s="24">
        <v>16.8</v>
      </c>
      <c r="O11" s="24">
        <v>282.20249999999999</v>
      </c>
      <c r="P11" s="24">
        <v>0.55000000000000004</v>
      </c>
      <c r="Q11" s="24"/>
      <c r="R11" s="24">
        <v>9.7050000000000001</v>
      </c>
      <c r="S11" s="24">
        <v>94.227500000000006</v>
      </c>
      <c r="T11" s="24">
        <v>0.62</v>
      </c>
      <c r="U11" s="13"/>
      <c r="V11" s="30"/>
      <c r="W11" s="31"/>
      <c r="X11" s="31"/>
      <c r="Y11" s="31"/>
      <c r="Z11" s="31"/>
      <c r="AA11" s="31"/>
      <c r="AB11" s="31"/>
      <c r="AC11" s="31"/>
    </row>
    <row r="12" spans="2:29" x14ac:dyDescent="0.2">
      <c r="B12" s="13"/>
      <c r="C12" s="59"/>
      <c r="D12" s="13" t="s">
        <v>73</v>
      </c>
      <c r="E12" s="13"/>
      <c r="F12" s="24">
        <v>17.54</v>
      </c>
      <c r="G12" s="24">
        <v>307.71749999999997</v>
      </c>
      <c r="H12" s="24">
        <v>0.09</v>
      </c>
      <c r="I12" s="24"/>
      <c r="J12" s="24">
        <v>13.244999999999999</v>
      </c>
      <c r="K12" s="24">
        <v>175.405</v>
      </c>
      <c r="L12" s="24">
        <v>0.4</v>
      </c>
      <c r="M12" s="24"/>
      <c r="N12" s="24">
        <v>13.395</v>
      </c>
      <c r="O12" s="24">
        <v>179.405</v>
      </c>
      <c r="P12" s="24">
        <v>0.61</v>
      </c>
      <c r="Q12" s="24"/>
      <c r="R12" s="24">
        <v>11.225</v>
      </c>
      <c r="S12" s="24">
        <v>126.03749999999999</v>
      </c>
      <c r="T12" s="24">
        <v>0.81</v>
      </c>
      <c r="U12" s="13"/>
      <c r="V12" s="30"/>
      <c r="W12" s="31"/>
      <c r="X12" s="31"/>
      <c r="Y12" s="31"/>
      <c r="Z12" s="31"/>
      <c r="AA12" s="31"/>
      <c r="AB12" s="31"/>
      <c r="AC12" s="31"/>
    </row>
    <row r="13" spans="2:29" x14ac:dyDescent="0.2">
      <c r="B13" s="13"/>
      <c r="C13" s="59"/>
      <c r="D13" s="13" t="s">
        <v>128</v>
      </c>
      <c r="E13" s="13"/>
      <c r="F13" s="24">
        <v>17.065000000000001</v>
      </c>
      <c r="G13" s="24">
        <v>291.25</v>
      </c>
      <c r="H13" s="24">
        <v>0.11</v>
      </c>
      <c r="I13" s="24"/>
      <c r="J13" s="24">
        <v>21.085000000000001</v>
      </c>
      <c r="K13" s="24">
        <v>444.52499999999998</v>
      </c>
      <c r="L13" s="24">
        <v>0.42</v>
      </c>
      <c r="M13" s="24"/>
      <c r="N13" s="24">
        <v>18.38</v>
      </c>
      <c r="O13" s="24">
        <v>337.84750000000003</v>
      </c>
      <c r="P13" s="24">
        <v>0.05</v>
      </c>
      <c r="Q13" s="24"/>
      <c r="R13" s="24">
        <v>17.184999999999999</v>
      </c>
      <c r="S13" s="24">
        <v>295.27999999999997</v>
      </c>
      <c r="T13" s="24">
        <v>0.26</v>
      </c>
      <c r="U13" s="13"/>
      <c r="V13" s="30"/>
      <c r="W13" s="31"/>
      <c r="X13" s="31"/>
      <c r="Y13" s="31"/>
      <c r="Z13" s="31"/>
      <c r="AA13" s="31"/>
      <c r="AB13" s="31"/>
      <c r="AC13" s="31"/>
    </row>
    <row r="14" spans="2:29" ht="5" customHeight="1" x14ac:dyDescent="0.2">
      <c r="B14" s="13"/>
      <c r="C14" s="14"/>
      <c r="D14" s="13"/>
      <c r="E14" s="1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13"/>
      <c r="V14" s="30"/>
      <c r="W14" s="31"/>
      <c r="X14" s="31"/>
      <c r="Y14" s="31"/>
      <c r="Z14" s="31"/>
      <c r="AA14" s="31"/>
      <c r="AB14" s="31"/>
      <c r="AC14" s="31"/>
    </row>
    <row r="15" spans="2:29" x14ac:dyDescent="0.2">
      <c r="B15" s="13"/>
      <c r="C15" s="59">
        <v>2</v>
      </c>
      <c r="D15" s="13" t="s">
        <v>124</v>
      </c>
      <c r="E15" s="13"/>
      <c r="F15" s="24">
        <v>19.670000000000002</v>
      </c>
      <c r="G15" s="24">
        <v>386.95</v>
      </c>
      <c r="H15" s="24">
        <v>0.05</v>
      </c>
      <c r="I15" s="24"/>
      <c r="J15" s="24">
        <v>12.865</v>
      </c>
      <c r="K15" s="24">
        <v>165.465</v>
      </c>
      <c r="L15" s="24">
        <v>0.12</v>
      </c>
      <c r="M15" s="24"/>
      <c r="N15" s="24">
        <v>13.3</v>
      </c>
      <c r="O15" s="24">
        <v>176.82749999999999</v>
      </c>
      <c r="P15" s="24">
        <v>0.12</v>
      </c>
      <c r="Q15" s="24"/>
      <c r="R15" s="24">
        <v>6.665</v>
      </c>
      <c r="S15" s="24">
        <v>44.447499999999998</v>
      </c>
      <c r="T15" s="24">
        <v>0.57999999999999996</v>
      </c>
      <c r="U15" s="13"/>
    </row>
    <row r="16" spans="2:29" x14ac:dyDescent="0.2">
      <c r="B16" s="13"/>
      <c r="C16" s="59"/>
      <c r="D16" s="13" t="s">
        <v>77</v>
      </c>
      <c r="E16" s="13"/>
      <c r="F16" s="24">
        <v>10.795</v>
      </c>
      <c r="G16" s="24">
        <v>116.485</v>
      </c>
      <c r="H16" s="24">
        <v>0.22</v>
      </c>
      <c r="I16" s="24"/>
      <c r="J16" s="24">
        <v>12.61</v>
      </c>
      <c r="K16" s="24">
        <v>158.99</v>
      </c>
      <c r="L16" s="24">
        <v>0.12</v>
      </c>
      <c r="M16" s="24"/>
      <c r="N16" s="24">
        <v>13.15</v>
      </c>
      <c r="O16" s="24">
        <v>172.86250000000001</v>
      </c>
      <c r="P16" s="24">
        <v>0.22</v>
      </c>
      <c r="Q16" s="24"/>
      <c r="R16" s="24">
        <v>8.5449999999999999</v>
      </c>
      <c r="S16" s="24">
        <v>73.027500000000003</v>
      </c>
      <c r="T16" s="24">
        <v>0.27</v>
      </c>
      <c r="U16" s="13"/>
    </row>
    <row r="17" spans="2:21" x14ac:dyDescent="0.2">
      <c r="B17" s="13"/>
      <c r="C17" s="59"/>
      <c r="D17" s="13" t="s">
        <v>125</v>
      </c>
      <c r="E17" s="13"/>
      <c r="F17" s="24">
        <v>9.59</v>
      </c>
      <c r="G17" s="24">
        <v>91.924999999999997</v>
      </c>
      <c r="H17" s="24">
        <v>0.08</v>
      </c>
      <c r="I17" s="24"/>
      <c r="J17" s="24">
        <v>14.685</v>
      </c>
      <c r="K17" s="24">
        <v>215.66749999999999</v>
      </c>
      <c r="L17" s="24">
        <v>0.21</v>
      </c>
      <c r="M17" s="24"/>
      <c r="N17" s="24">
        <v>12.2</v>
      </c>
      <c r="O17" s="24">
        <v>148.88</v>
      </c>
      <c r="P17" s="24">
        <v>0.27</v>
      </c>
      <c r="Q17" s="24"/>
      <c r="R17" s="24">
        <v>7.6749999999999998</v>
      </c>
      <c r="S17" s="24">
        <v>58.93</v>
      </c>
      <c r="T17" s="24">
        <v>0.32</v>
      </c>
      <c r="U17" s="13"/>
    </row>
    <row r="18" spans="2:21" x14ac:dyDescent="0.2">
      <c r="B18" s="13"/>
      <c r="C18" s="59"/>
      <c r="D18" s="13" t="s">
        <v>75</v>
      </c>
      <c r="E18" s="13"/>
      <c r="F18" s="24">
        <v>11.914999999999999</v>
      </c>
      <c r="G18" s="24">
        <v>141.92500000000001</v>
      </c>
      <c r="H18" s="24">
        <v>0.05</v>
      </c>
      <c r="I18" s="24"/>
      <c r="J18" s="24">
        <v>9.34</v>
      </c>
      <c r="K18" s="24">
        <v>87.194999999999993</v>
      </c>
      <c r="L18" s="24">
        <v>0.09</v>
      </c>
      <c r="M18" s="24"/>
      <c r="N18" s="24">
        <v>11.53</v>
      </c>
      <c r="O18" s="24">
        <v>132.98750000000001</v>
      </c>
      <c r="P18" s="24">
        <v>0.23</v>
      </c>
      <c r="Q18" s="24"/>
      <c r="R18" s="24">
        <v>10.210000000000001</v>
      </c>
      <c r="S18" s="24">
        <v>104.2225</v>
      </c>
      <c r="T18" s="24">
        <v>0.11</v>
      </c>
      <c r="U18" s="13"/>
    </row>
    <row r="19" spans="2:21" x14ac:dyDescent="0.2">
      <c r="B19" s="13"/>
      <c r="C19" s="59"/>
      <c r="D19" s="13" t="s">
        <v>126</v>
      </c>
      <c r="E19" s="13"/>
      <c r="F19" s="24">
        <v>11.17</v>
      </c>
      <c r="G19" s="24">
        <v>124.765</v>
      </c>
      <c r="H19" s="24">
        <v>7.0000000000000007E-2</v>
      </c>
      <c r="I19" s="24"/>
      <c r="J19" s="24">
        <v>12.865</v>
      </c>
      <c r="K19" s="24">
        <v>165.53749999999999</v>
      </c>
      <c r="L19" s="24">
        <v>0.08</v>
      </c>
      <c r="M19" s="24"/>
      <c r="N19" s="24">
        <v>6.73</v>
      </c>
      <c r="O19" s="24">
        <v>45.29</v>
      </c>
      <c r="P19" s="24">
        <v>0.47</v>
      </c>
      <c r="Q19" s="24"/>
      <c r="R19" s="24">
        <v>7.32</v>
      </c>
      <c r="S19" s="24">
        <v>53.557499999999997</v>
      </c>
      <c r="T19" s="24">
        <v>0.48</v>
      </c>
      <c r="U19" s="13"/>
    </row>
    <row r="20" spans="2:21" x14ac:dyDescent="0.2">
      <c r="B20" s="13"/>
      <c r="C20" s="59"/>
      <c r="D20" s="13" t="s">
        <v>127</v>
      </c>
      <c r="E20" s="13"/>
      <c r="F20" s="24">
        <v>15.36</v>
      </c>
      <c r="G20" s="24">
        <v>235.98</v>
      </c>
      <c r="H20" s="24">
        <v>7.0000000000000007E-2</v>
      </c>
      <c r="I20" s="24"/>
      <c r="J20" s="24">
        <v>12.29</v>
      </c>
      <c r="K20" s="24">
        <v>151.04499999999999</v>
      </c>
      <c r="L20" s="24">
        <v>0.19</v>
      </c>
      <c r="M20" s="24"/>
      <c r="N20" s="24">
        <v>7.44</v>
      </c>
      <c r="O20" s="24">
        <v>55.372500000000002</v>
      </c>
      <c r="P20" s="24">
        <v>0.31</v>
      </c>
      <c r="Q20" s="24"/>
      <c r="R20" s="24">
        <v>7.85</v>
      </c>
      <c r="S20" s="24">
        <v>61.594999999999999</v>
      </c>
      <c r="T20" s="24">
        <v>0.42</v>
      </c>
      <c r="U20" s="13"/>
    </row>
    <row r="21" spans="2:21" x14ac:dyDescent="0.2">
      <c r="B21" s="13"/>
      <c r="C21" s="59"/>
      <c r="D21" s="13" t="s">
        <v>73</v>
      </c>
      <c r="E21" s="13"/>
      <c r="F21" s="24">
        <v>9.89</v>
      </c>
      <c r="G21" s="24">
        <v>97.817499999999995</v>
      </c>
      <c r="H21" s="24">
        <v>0.04</v>
      </c>
      <c r="I21" s="24"/>
      <c r="J21" s="24">
        <v>12.71</v>
      </c>
      <c r="K21" s="24">
        <v>161.57249999999999</v>
      </c>
      <c r="L21" s="24">
        <v>0.11</v>
      </c>
      <c r="M21" s="24"/>
      <c r="N21" s="24">
        <v>7.5350000000000001</v>
      </c>
      <c r="O21" s="24">
        <v>56.767499999999998</v>
      </c>
      <c r="P21" s="24">
        <v>0.38</v>
      </c>
      <c r="Q21" s="24"/>
      <c r="R21" s="24">
        <v>6.52</v>
      </c>
      <c r="S21" s="24">
        <v>42.512500000000003</v>
      </c>
      <c r="T21" s="24">
        <v>0.52</v>
      </c>
      <c r="U21" s="13"/>
    </row>
    <row r="22" spans="2:21" x14ac:dyDescent="0.2">
      <c r="B22" s="13"/>
      <c r="C22" s="59"/>
      <c r="D22" s="13" t="s">
        <v>128</v>
      </c>
      <c r="E22" s="13"/>
      <c r="F22" s="24">
        <v>15.164999999999999</v>
      </c>
      <c r="G22" s="24">
        <v>229.9975</v>
      </c>
      <c r="H22" s="24">
        <v>0.12</v>
      </c>
      <c r="I22" s="24"/>
      <c r="J22" s="24">
        <v>7.79</v>
      </c>
      <c r="K22" s="24">
        <v>60.65</v>
      </c>
      <c r="L22" s="24">
        <v>0.11</v>
      </c>
      <c r="M22" s="24"/>
      <c r="N22" s="24">
        <v>11.56</v>
      </c>
      <c r="O22" s="24">
        <v>133.64750000000001</v>
      </c>
      <c r="P22" s="24">
        <v>0.34</v>
      </c>
      <c r="Q22" s="24"/>
      <c r="R22" s="24">
        <v>8.33</v>
      </c>
      <c r="S22" s="24">
        <v>69.385000000000005</v>
      </c>
      <c r="T22" s="24">
        <v>0.34</v>
      </c>
      <c r="U22" s="13"/>
    </row>
    <row r="23" spans="2:21" ht="5" customHeight="1" x14ac:dyDescent="0.2">
      <c r="B23" s="13"/>
      <c r="C23" s="14"/>
      <c r="D23" s="13"/>
      <c r="E23" s="1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13"/>
    </row>
    <row r="24" spans="2:21" x14ac:dyDescent="0.2">
      <c r="B24" s="13"/>
      <c r="C24" s="59">
        <v>3</v>
      </c>
      <c r="D24" s="13" t="s">
        <v>124</v>
      </c>
      <c r="E24" s="13"/>
      <c r="F24" s="24">
        <v>11.24</v>
      </c>
      <c r="G24" s="24">
        <v>126.295</v>
      </c>
      <c r="H24" s="24">
        <v>0.09</v>
      </c>
      <c r="I24" s="24"/>
      <c r="J24" s="24">
        <v>10.48</v>
      </c>
      <c r="K24" s="24">
        <v>109.79</v>
      </c>
      <c r="L24" s="24">
        <v>0.02</v>
      </c>
      <c r="M24" s="24"/>
      <c r="N24" s="24">
        <v>7.6349999999999998</v>
      </c>
      <c r="O24" s="24">
        <v>58.267499999999998</v>
      </c>
      <c r="P24" s="24">
        <v>0.31</v>
      </c>
      <c r="Q24" s="24"/>
      <c r="R24" s="24">
        <v>6.18</v>
      </c>
      <c r="S24" s="24">
        <v>38.172499999999999</v>
      </c>
      <c r="T24" s="24">
        <v>0.68</v>
      </c>
      <c r="U24" s="13"/>
    </row>
    <row r="25" spans="2:21" x14ac:dyDescent="0.2">
      <c r="B25" s="13"/>
      <c r="C25" s="59"/>
      <c r="D25" s="13" t="s">
        <v>77</v>
      </c>
      <c r="E25" s="13"/>
      <c r="F25" s="24">
        <v>11</v>
      </c>
      <c r="G25" s="24">
        <v>120.9675</v>
      </c>
      <c r="H25" s="24">
        <v>0.02</v>
      </c>
      <c r="I25" s="24"/>
      <c r="J25" s="24">
        <v>9.1150000000000002</v>
      </c>
      <c r="K25" s="24">
        <v>83.105000000000004</v>
      </c>
      <c r="L25" s="24">
        <v>0.05</v>
      </c>
      <c r="M25" s="24"/>
      <c r="N25" s="24">
        <v>8.0250000000000004</v>
      </c>
      <c r="O25" s="24">
        <v>64.387500000000003</v>
      </c>
      <c r="P25" s="24">
        <v>0.26</v>
      </c>
      <c r="Q25" s="24"/>
      <c r="R25" s="24">
        <v>7.14</v>
      </c>
      <c r="S25" s="24">
        <v>50.962499999999999</v>
      </c>
      <c r="T25" s="24">
        <v>0.64</v>
      </c>
      <c r="U25" s="13"/>
    </row>
    <row r="26" spans="2:21" x14ac:dyDescent="0.2">
      <c r="B26" s="13"/>
      <c r="C26" s="59"/>
      <c r="D26" s="13" t="s">
        <v>125</v>
      </c>
      <c r="E26" s="13"/>
      <c r="F26" s="24">
        <v>16.03</v>
      </c>
      <c r="G26" s="24">
        <v>256.92750000000001</v>
      </c>
      <c r="H26" s="24">
        <v>0.03</v>
      </c>
      <c r="I26" s="24"/>
      <c r="J26" s="24">
        <v>10.045</v>
      </c>
      <c r="K26" s="24">
        <v>100.875</v>
      </c>
      <c r="L26" s="24">
        <v>0.06</v>
      </c>
      <c r="M26" s="24"/>
      <c r="N26" s="24">
        <v>7.99</v>
      </c>
      <c r="O26" s="24">
        <v>63.862499999999997</v>
      </c>
      <c r="P26" s="24">
        <v>0.32</v>
      </c>
      <c r="Q26" s="24"/>
      <c r="R26" s="24">
        <v>6.9249999999999998</v>
      </c>
      <c r="S26" s="24">
        <v>47.95</v>
      </c>
      <c r="T26" s="24">
        <v>0.6</v>
      </c>
      <c r="U26" s="13"/>
    </row>
    <row r="27" spans="2:21" x14ac:dyDescent="0.2">
      <c r="B27" s="13"/>
      <c r="C27" s="59"/>
      <c r="D27" s="13" t="s">
        <v>75</v>
      </c>
      <c r="E27" s="13"/>
      <c r="F27" s="24">
        <v>12.275</v>
      </c>
      <c r="G27" s="24">
        <v>150.6925</v>
      </c>
      <c r="H27" s="24">
        <v>0.04</v>
      </c>
      <c r="I27" s="24"/>
      <c r="J27" s="24">
        <v>7.3650000000000002</v>
      </c>
      <c r="K27" s="24">
        <v>54.244999999999997</v>
      </c>
      <c r="L27" s="24">
        <v>0.04</v>
      </c>
      <c r="M27" s="24"/>
      <c r="N27" s="24">
        <v>7.8650000000000002</v>
      </c>
      <c r="O27" s="24">
        <v>61.86</v>
      </c>
      <c r="P27" s="24">
        <v>0.27</v>
      </c>
      <c r="Q27" s="24"/>
      <c r="R27" s="24">
        <v>7.62</v>
      </c>
      <c r="S27" s="24">
        <v>58.05</v>
      </c>
      <c r="T27" s="24">
        <v>0.46</v>
      </c>
      <c r="U27" s="13"/>
    </row>
    <row r="28" spans="2:21" x14ac:dyDescent="0.2">
      <c r="B28" s="13"/>
      <c r="C28" s="59"/>
      <c r="D28" s="13" t="s">
        <v>126</v>
      </c>
      <c r="E28" s="13"/>
      <c r="F28" s="24">
        <v>11.23</v>
      </c>
      <c r="G28" s="24">
        <v>126.07</v>
      </c>
      <c r="H28" s="24">
        <v>0.06</v>
      </c>
      <c r="I28" s="24"/>
      <c r="J28" s="24">
        <v>10.33</v>
      </c>
      <c r="K28" s="24">
        <v>106.74250000000001</v>
      </c>
      <c r="L28" s="24">
        <v>0.06</v>
      </c>
      <c r="M28" s="24"/>
      <c r="N28" s="24">
        <v>7.6050000000000004</v>
      </c>
      <c r="O28" s="24">
        <v>57.814999999999998</v>
      </c>
      <c r="P28" s="24">
        <v>0.37</v>
      </c>
      <c r="Q28" s="24"/>
      <c r="R28" s="24">
        <v>7.625</v>
      </c>
      <c r="S28" s="24">
        <v>58.142499999999998</v>
      </c>
      <c r="T28" s="24">
        <v>0.54</v>
      </c>
      <c r="U28" s="13"/>
    </row>
    <row r="29" spans="2:21" x14ac:dyDescent="0.2">
      <c r="B29" s="13"/>
      <c r="C29" s="59"/>
      <c r="D29" s="13" t="s">
        <v>127</v>
      </c>
      <c r="E29" s="13"/>
      <c r="F29" s="24">
        <v>11.195</v>
      </c>
      <c r="G29" s="24">
        <v>125.375</v>
      </c>
      <c r="H29" s="24">
        <v>0.15</v>
      </c>
      <c r="I29" s="24"/>
      <c r="J29" s="24">
        <v>7.02</v>
      </c>
      <c r="K29" s="24">
        <v>49.3</v>
      </c>
      <c r="L29" s="24">
        <v>0.04</v>
      </c>
      <c r="M29" s="24"/>
      <c r="N29" s="24">
        <v>7.0350000000000001</v>
      </c>
      <c r="O29" s="24">
        <v>49.482500000000002</v>
      </c>
      <c r="P29" s="24">
        <v>0.31</v>
      </c>
      <c r="Q29" s="24"/>
      <c r="R29" s="24">
        <v>7.41</v>
      </c>
      <c r="S29" s="24">
        <v>54.93</v>
      </c>
      <c r="T29" s="24">
        <v>0.57999999999999996</v>
      </c>
      <c r="U29" s="13"/>
    </row>
    <row r="30" spans="2:21" x14ac:dyDescent="0.2">
      <c r="B30" s="13"/>
      <c r="C30" s="59"/>
      <c r="D30" s="13" t="s">
        <v>73</v>
      </c>
      <c r="E30" s="13"/>
      <c r="F30" s="24">
        <v>15.975</v>
      </c>
      <c r="G30" s="24">
        <v>255.23500000000001</v>
      </c>
      <c r="H30" s="24">
        <v>0.03</v>
      </c>
      <c r="I30" s="24"/>
      <c r="J30" s="24">
        <v>13.26</v>
      </c>
      <c r="K30" s="24">
        <v>175.79</v>
      </c>
      <c r="L30" s="24">
        <v>0.06</v>
      </c>
      <c r="M30" s="24"/>
      <c r="N30" s="24">
        <v>8.23</v>
      </c>
      <c r="O30" s="24">
        <v>67.697500000000005</v>
      </c>
      <c r="P30" s="24">
        <v>0.32</v>
      </c>
      <c r="Q30" s="24"/>
      <c r="R30" s="24">
        <v>6.9249999999999998</v>
      </c>
      <c r="S30" s="24">
        <v>47.987499999999997</v>
      </c>
      <c r="T30" s="24">
        <v>0.56000000000000005</v>
      </c>
      <c r="U30" s="13"/>
    </row>
    <row r="31" spans="2:21" x14ac:dyDescent="0.2">
      <c r="B31" s="13"/>
      <c r="C31" s="59"/>
      <c r="D31" s="13" t="s">
        <v>128</v>
      </c>
      <c r="E31" s="13"/>
      <c r="F31" s="24">
        <v>11.26</v>
      </c>
      <c r="G31" s="24">
        <v>126.8175</v>
      </c>
      <c r="H31" s="24">
        <v>0.05</v>
      </c>
      <c r="I31" s="24"/>
      <c r="J31" s="24">
        <v>7.0149999999999997</v>
      </c>
      <c r="K31" s="24">
        <v>49.19</v>
      </c>
      <c r="L31" s="24">
        <v>0.04</v>
      </c>
      <c r="M31" s="24"/>
      <c r="N31" s="24">
        <v>7.7949999999999999</v>
      </c>
      <c r="O31" s="24">
        <v>60.732500000000002</v>
      </c>
      <c r="P31" s="24">
        <v>0.26</v>
      </c>
      <c r="Q31" s="24"/>
      <c r="R31" s="24">
        <v>7.65</v>
      </c>
      <c r="S31" s="24">
        <v>58.4925</v>
      </c>
      <c r="T31" s="24">
        <v>0.53</v>
      </c>
      <c r="U31" s="13"/>
    </row>
    <row r="32" spans="2:21" ht="5" customHeight="1" x14ac:dyDescent="0.2">
      <c r="B32" s="13"/>
      <c r="C32" s="14"/>
      <c r="D32" s="13"/>
      <c r="E32" s="1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13"/>
    </row>
    <row r="33" spans="2:21" x14ac:dyDescent="0.2">
      <c r="B33" s="13"/>
      <c r="C33" s="59">
        <v>4</v>
      </c>
      <c r="D33" s="13" t="s">
        <v>124</v>
      </c>
      <c r="E33" s="13"/>
      <c r="F33" s="24">
        <v>6.47</v>
      </c>
      <c r="G33" s="24">
        <v>41.892499999999998</v>
      </c>
      <c r="H33" s="24">
        <v>0.18</v>
      </c>
      <c r="I33" s="24"/>
      <c r="J33" s="24">
        <v>10.63</v>
      </c>
      <c r="K33" s="24">
        <v>113.005</v>
      </c>
      <c r="L33" s="24">
        <v>0.21</v>
      </c>
      <c r="M33" s="24"/>
      <c r="N33" s="24">
        <v>8.59</v>
      </c>
      <c r="O33" s="24">
        <v>73.825000000000003</v>
      </c>
      <c r="P33" s="24">
        <v>0.42</v>
      </c>
      <c r="Q33" s="24"/>
      <c r="R33" s="24">
        <v>2.86</v>
      </c>
      <c r="S33" s="24">
        <v>8.18</v>
      </c>
      <c r="T33" s="24">
        <v>0.82</v>
      </c>
      <c r="U33" s="13"/>
    </row>
    <row r="34" spans="2:21" x14ac:dyDescent="0.2">
      <c r="B34" s="13"/>
      <c r="C34" s="59"/>
      <c r="D34" s="13" t="s">
        <v>77</v>
      </c>
      <c r="E34" s="13"/>
      <c r="F34" s="24">
        <v>7.9050000000000002</v>
      </c>
      <c r="G34" s="24">
        <v>62.487499999999997</v>
      </c>
      <c r="H34" s="24">
        <v>0.34</v>
      </c>
      <c r="I34" s="24"/>
      <c r="J34" s="24">
        <v>7.78</v>
      </c>
      <c r="K34" s="24">
        <v>60.564999999999998</v>
      </c>
      <c r="L34" s="24">
        <v>0.35</v>
      </c>
      <c r="M34" s="24"/>
      <c r="N34" s="24">
        <v>7.4550000000000001</v>
      </c>
      <c r="O34" s="24">
        <v>55.585000000000001</v>
      </c>
      <c r="P34" s="24">
        <v>0.59</v>
      </c>
      <c r="Q34" s="24"/>
      <c r="R34" s="24">
        <v>4.9800000000000004</v>
      </c>
      <c r="S34" s="24">
        <v>24.785</v>
      </c>
      <c r="T34" s="24">
        <v>0.6</v>
      </c>
      <c r="U34" s="13"/>
    </row>
    <row r="35" spans="2:21" x14ac:dyDescent="0.2">
      <c r="B35" s="13"/>
      <c r="C35" s="59"/>
      <c r="D35" s="13" t="s">
        <v>125</v>
      </c>
      <c r="E35" s="13"/>
      <c r="F35" s="24">
        <v>14.87</v>
      </c>
      <c r="G35" s="24">
        <v>221.08250000000001</v>
      </c>
      <c r="H35" s="24">
        <v>0.45</v>
      </c>
      <c r="I35" s="24"/>
      <c r="J35" s="24">
        <v>10.135</v>
      </c>
      <c r="K35" s="24">
        <v>102.7375</v>
      </c>
      <c r="L35" s="24">
        <v>0.15</v>
      </c>
      <c r="M35" s="24"/>
      <c r="N35" s="24">
        <v>5.62</v>
      </c>
      <c r="O35" s="24">
        <v>31.5975</v>
      </c>
      <c r="P35" s="24">
        <v>0.74</v>
      </c>
      <c r="Q35" s="24"/>
      <c r="R35" s="24">
        <v>4.3949999999999996</v>
      </c>
      <c r="S35" s="24">
        <v>19.295000000000002</v>
      </c>
      <c r="T35" s="24">
        <v>0.6</v>
      </c>
      <c r="U35" s="13"/>
    </row>
    <row r="36" spans="2:21" x14ac:dyDescent="0.2">
      <c r="B36" s="13"/>
      <c r="C36" s="59"/>
      <c r="D36" s="13" t="s">
        <v>75</v>
      </c>
      <c r="E36" s="13"/>
      <c r="F36" s="24">
        <v>9.5649999999999995</v>
      </c>
      <c r="G36" s="24">
        <v>91.487499999999997</v>
      </c>
      <c r="H36" s="24">
        <v>7.0000000000000007E-2</v>
      </c>
      <c r="I36" s="24"/>
      <c r="J36" s="24">
        <v>8.68</v>
      </c>
      <c r="K36" s="24">
        <v>75.362499999999997</v>
      </c>
      <c r="L36" s="24">
        <v>0.1</v>
      </c>
      <c r="M36" s="24"/>
      <c r="N36" s="24">
        <v>4.8949999999999996</v>
      </c>
      <c r="O36" s="24">
        <v>23.954999999999998</v>
      </c>
      <c r="P36" s="24">
        <v>0.86</v>
      </c>
      <c r="Q36" s="24"/>
      <c r="R36" s="24">
        <v>4.9749999999999996</v>
      </c>
      <c r="S36" s="24">
        <v>24.745000000000001</v>
      </c>
      <c r="T36" s="24">
        <v>0.32</v>
      </c>
      <c r="U36" s="13"/>
    </row>
    <row r="37" spans="2:21" x14ac:dyDescent="0.2">
      <c r="B37" s="13"/>
      <c r="C37" s="59"/>
      <c r="D37" s="13" t="s">
        <v>126</v>
      </c>
      <c r="E37" s="13"/>
      <c r="F37" s="24">
        <v>8.8450000000000006</v>
      </c>
      <c r="G37" s="24">
        <v>78.27</v>
      </c>
      <c r="H37" s="24">
        <v>0.09</v>
      </c>
      <c r="I37" s="24"/>
      <c r="J37" s="24">
        <v>9.4450000000000003</v>
      </c>
      <c r="K37" s="24">
        <v>89.172499999999999</v>
      </c>
      <c r="L37" s="24">
        <v>0.31</v>
      </c>
      <c r="M37" s="24"/>
      <c r="N37" s="24">
        <v>6.84</v>
      </c>
      <c r="O37" s="24">
        <v>46.752499999999998</v>
      </c>
      <c r="P37" s="24">
        <v>0.76</v>
      </c>
      <c r="Q37" s="24"/>
      <c r="R37" s="24">
        <v>4.1449999999999996</v>
      </c>
      <c r="S37" s="24">
        <v>17.195</v>
      </c>
      <c r="T37" s="24">
        <v>0.73</v>
      </c>
      <c r="U37" s="13"/>
    </row>
    <row r="38" spans="2:21" x14ac:dyDescent="0.2">
      <c r="B38" s="13"/>
      <c r="C38" s="59"/>
      <c r="D38" s="13" t="s">
        <v>127</v>
      </c>
      <c r="E38" s="13"/>
      <c r="F38" s="24">
        <v>7.415</v>
      </c>
      <c r="G38" s="24">
        <v>54.987499999999997</v>
      </c>
      <c r="H38" s="24">
        <v>0.17</v>
      </c>
      <c r="I38" s="24"/>
      <c r="J38" s="24">
        <v>10.425000000000001</v>
      </c>
      <c r="K38" s="24">
        <v>108.6675</v>
      </c>
      <c r="L38" s="24">
        <v>0.39</v>
      </c>
      <c r="M38" s="24"/>
      <c r="N38" s="24">
        <v>8.2050000000000001</v>
      </c>
      <c r="O38" s="24">
        <v>67.337500000000006</v>
      </c>
      <c r="P38" s="24">
        <v>0.64</v>
      </c>
      <c r="Q38" s="24"/>
      <c r="R38" s="24">
        <v>5.0199999999999996</v>
      </c>
      <c r="S38" s="24">
        <v>25.184999999999999</v>
      </c>
      <c r="T38" s="24">
        <v>0.56999999999999995</v>
      </c>
      <c r="U38" s="13"/>
    </row>
    <row r="39" spans="2:21" x14ac:dyDescent="0.2">
      <c r="B39" s="13"/>
      <c r="C39" s="59"/>
      <c r="D39" s="13" t="s">
        <v>73</v>
      </c>
      <c r="E39" s="13"/>
      <c r="F39" s="24">
        <v>13.17</v>
      </c>
      <c r="G39" s="24">
        <v>173.4</v>
      </c>
      <c r="H39" s="24">
        <v>0.13</v>
      </c>
      <c r="I39" s="24"/>
      <c r="J39" s="24">
        <v>9.6750000000000007</v>
      </c>
      <c r="K39" s="24">
        <v>93.614999999999995</v>
      </c>
      <c r="L39" s="24">
        <v>0.15</v>
      </c>
      <c r="M39" s="24"/>
      <c r="N39" s="24">
        <v>5.1950000000000003</v>
      </c>
      <c r="O39" s="24">
        <v>26.984999999999999</v>
      </c>
      <c r="P39" s="24">
        <v>0.83</v>
      </c>
      <c r="Q39" s="24"/>
      <c r="R39" s="24">
        <v>2.9750000000000001</v>
      </c>
      <c r="S39" s="24">
        <v>8.8475000000000001</v>
      </c>
      <c r="T39" s="24">
        <v>0.77</v>
      </c>
      <c r="U39" s="13"/>
    </row>
    <row r="40" spans="2:21" ht="16" thickBot="1" x14ac:dyDescent="0.25">
      <c r="B40" s="13"/>
      <c r="C40" s="60"/>
      <c r="D40" s="15" t="s">
        <v>128</v>
      </c>
      <c r="E40" s="15"/>
      <c r="F40" s="50">
        <v>7.0350000000000001</v>
      </c>
      <c r="G40" s="50">
        <v>49.47</v>
      </c>
      <c r="H40" s="50">
        <v>7.0000000000000007E-2</v>
      </c>
      <c r="I40" s="50"/>
      <c r="J40" s="50">
        <v>9.8949999999999996</v>
      </c>
      <c r="K40" s="50">
        <v>97.9375</v>
      </c>
      <c r="L40" s="50">
        <v>0.21</v>
      </c>
      <c r="M40" s="50"/>
      <c r="N40" s="50">
        <v>8.5350000000000001</v>
      </c>
      <c r="O40" s="50">
        <v>72.819999999999993</v>
      </c>
      <c r="P40" s="50">
        <v>0.43</v>
      </c>
      <c r="Q40" s="50"/>
      <c r="R40" s="50">
        <v>5.21</v>
      </c>
      <c r="S40" s="50">
        <v>27.17</v>
      </c>
      <c r="T40" s="50">
        <v>0.45</v>
      </c>
      <c r="U40" s="13"/>
    </row>
    <row r="41" spans="2:21" x14ac:dyDescent="0.2">
      <c r="B41" s="13"/>
      <c r="C41" s="41" t="s">
        <v>133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2:21" x14ac:dyDescent="0.2">
      <c r="B43" s="13"/>
      <c r="C43" s="13" t="s">
        <v>130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2:21" ht="16" thickBot="1" x14ac:dyDescent="0.25"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3"/>
    </row>
    <row r="45" spans="2:21" x14ac:dyDescent="0.2">
      <c r="B45" s="13"/>
      <c r="C45" s="13"/>
      <c r="D45" s="13"/>
      <c r="E45" s="13"/>
      <c r="F45" s="58" t="s">
        <v>118</v>
      </c>
      <c r="G45" s="58"/>
      <c r="H45" s="58"/>
      <c r="I45" s="14"/>
      <c r="J45" s="58" t="s">
        <v>119</v>
      </c>
      <c r="K45" s="58"/>
      <c r="L45" s="58"/>
      <c r="M45" s="14"/>
      <c r="N45" s="58" t="s">
        <v>120</v>
      </c>
      <c r="O45" s="58"/>
      <c r="P45" s="58"/>
      <c r="Q45" s="14"/>
      <c r="R45" s="58" t="s">
        <v>121</v>
      </c>
      <c r="S45" s="58"/>
      <c r="T45" s="58"/>
      <c r="U45" s="13"/>
    </row>
    <row r="46" spans="2:21" x14ac:dyDescent="0.2">
      <c r="B46" s="13"/>
      <c r="C46" s="25" t="s">
        <v>55</v>
      </c>
      <c r="D46" s="25" t="s">
        <v>71</v>
      </c>
      <c r="E46" s="25"/>
      <c r="F46" s="25" t="s">
        <v>54</v>
      </c>
      <c r="G46" s="25" t="s">
        <v>122</v>
      </c>
      <c r="H46" s="25" t="s">
        <v>123</v>
      </c>
      <c r="I46" s="25"/>
      <c r="J46" s="25" t="s">
        <v>54</v>
      </c>
      <c r="K46" s="25" t="s">
        <v>122</v>
      </c>
      <c r="L46" s="25" t="s">
        <v>123</v>
      </c>
      <c r="M46" s="25"/>
      <c r="N46" s="25" t="s">
        <v>54</v>
      </c>
      <c r="O46" s="25" t="s">
        <v>122</v>
      </c>
      <c r="P46" s="25" t="s">
        <v>123</v>
      </c>
      <c r="Q46" s="25"/>
      <c r="R46" s="25" t="s">
        <v>54</v>
      </c>
      <c r="S46" s="25" t="s">
        <v>122</v>
      </c>
      <c r="T46" s="25" t="s">
        <v>123</v>
      </c>
      <c r="U46" s="13"/>
    </row>
    <row r="47" spans="2:21" x14ac:dyDescent="0.2">
      <c r="B47" s="13"/>
      <c r="C47" s="59">
        <v>1</v>
      </c>
      <c r="D47" s="13" t="s">
        <v>124</v>
      </c>
      <c r="E47" s="13"/>
      <c r="F47" s="24">
        <v>35.93</v>
      </c>
      <c r="G47" s="24">
        <v>1290.865</v>
      </c>
      <c r="H47" s="24">
        <v>0.5</v>
      </c>
      <c r="I47" s="24"/>
      <c r="J47" s="24">
        <v>16.46</v>
      </c>
      <c r="K47" s="24">
        <v>271</v>
      </c>
      <c r="L47" s="24">
        <v>0.57999999999999996</v>
      </c>
      <c r="M47" s="24"/>
      <c r="N47" s="24">
        <v>12.38</v>
      </c>
      <c r="O47" s="24">
        <v>153.27000000000001</v>
      </c>
      <c r="P47" s="24">
        <v>0.35</v>
      </c>
      <c r="Q47" s="24"/>
      <c r="R47" s="24">
        <v>24.56</v>
      </c>
      <c r="S47" s="24">
        <v>603.17750000000001</v>
      </c>
      <c r="T47" s="24">
        <v>0.42</v>
      </c>
      <c r="U47" s="13"/>
    </row>
    <row r="48" spans="2:21" x14ac:dyDescent="0.2">
      <c r="B48" s="13"/>
      <c r="C48" s="59"/>
      <c r="D48" s="13" t="s">
        <v>77</v>
      </c>
      <c r="E48" s="13"/>
      <c r="F48" s="24">
        <v>29.93</v>
      </c>
      <c r="G48" s="24">
        <v>895.9</v>
      </c>
      <c r="H48" s="24">
        <v>0.81</v>
      </c>
      <c r="I48" s="24"/>
      <c r="J48" s="24">
        <v>35.159999999999997</v>
      </c>
      <c r="K48" s="24">
        <v>1236.1475</v>
      </c>
      <c r="L48" s="24">
        <v>0.57999999999999996</v>
      </c>
      <c r="M48" s="24"/>
      <c r="N48" s="24">
        <v>15.27</v>
      </c>
      <c r="O48" s="24">
        <v>233.10249999999999</v>
      </c>
      <c r="P48" s="24">
        <v>0.81</v>
      </c>
      <c r="Q48" s="24"/>
      <c r="R48" s="24">
        <v>12.4</v>
      </c>
      <c r="S48" s="24">
        <v>153.77500000000001</v>
      </c>
      <c r="T48" s="24">
        <v>0.32</v>
      </c>
      <c r="U48" s="13"/>
    </row>
    <row r="49" spans="2:21" x14ac:dyDescent="0.2">
      <c r="B49" s="13"/>
      <c r="C49" s="59"/>
      <c r="D49" s="13" t="s">
        <v>125</v>
      </c>
      <c r="E49" s="13"/>
      <c r="F49" s="24">
        <v>44.314999999999998</v>
      </c>
      <c r="G49" s="24">
        <v>1963.6</v>
      </c>
      <c r="H49" s="24">
        <v>0.23</v>
      </c>
      <c r="I49" s="24"/>
      <c r="J49" s="24">
        <v>38.049999999999997</v>
      </c>
      <c r="K49" s="24">
        <v>1447.7974999999999</v>
      </c>
      <c r="L49" s="24">
        <v>0.37</v>
      </c>
      <c r="M49" s="24"/>
      <c r="N49" s="24">
        <v>28.52</v>
      </c>
      <c r="O49" s="24">
        <v>813.49249999999995</v>
      </c>
      <c r="P49" s="24">
        <v>0.16</v>
      </c>
      <c r="Q49" s="24"/>
      <c r="R49" s="24">
        <v>23.71</v>
      </c>
      <c r="S49" s="24">
        <v>562.11</v>
      </c>
      <c r="T49" s="24">
        <v>0.5</v>
      </c>
      <c r="U49" s="13"/>
    </row>
    <row r="50" spans="2:21" x14ac:dyDescent="0.2">
      <c r="B50" s="13"/>
      <c r="C50" s="59"/>
      <c r="D50" s="13" t="s">
        <v>75</v>
      </c>
      <c r="E50" s="13"/>
      <c r="F50" s="24">
        <v>26.684999999999999</v>
      </c>
      <c r="G50" s="24">
        <v>712.20500000000004</v>
      </c>
      <c r="H50" s="24">
        <v>0.48</v>
      </c>
      <c r="I50" s="24"/>
      <c r="J50" s="24">
        <v>23.15</v>
      </c>
      <c r="K50" s="24">
        <v>535.83500000000004</v>
      </c>
      <c r="L50" s="24">
        <v>0.59</v>
      </c>
      <c r="M50" s="24"/>
      <c r="N50" s="24">
        <v>30.19</v>
      </c>
      <c r="O50" s="24">
        <v>911.44749999999999</v>
      </c>
      <c r="P50" s="24">
        <v>0.28000000000000003</v>
      </c>
      <c r="Q50" s="24"/>
      <c r="R50" s="24">
        <v>17.739999999999998</v>
      </c>
      <c r="S50" s="24">
        <v>314.66500000000002</v>
      </c>
      <c r="T50" s="24">
        <v>0.72</v>
      </c>
      <c r="U50" s="13"/>
    </row>
    <row r="51" spans="2:21" x14ac:dyDescent="0.2">
      <c r="B51" s="13"/>
      <c r="C51" s="59"/>
      <c r="D51" s="13" t="s">
        <v>126</v>
      </c>
      <c r="E51" s="13"/>
      <c r="F51" s="24">
        <v>32.965000000000003</v>
      </c>
      <c r="G51" s="24">
        <v>1086.7725</v>
      </c>
      <c r="H51" s="24">
        <v>0.36</v>
      </c>
      <c r="I51" s="24"/>
      <c r="J51" s="24">
        <v>36.44</v>
      </c>
      <c r="K51" s="24">
        <v>1327.9775</v>
      </c>
      <c r="L51" s="24">
        <v>0.77</v>
      </c>
      <c r="M51" s="24"/>
      <c r="N51" s="24">
        <v>12.595000000000001</v>
      </c>
      <c r="O51" s="24">
        <v>158.64750000000001</v>
      </c>
      <c r="P51" s="24">
        <v>0.32</v>
      </c>
      <c r="Q51" s="24"/>
      <c r="R51" s="24">
        <v>26.664999999999999</v>
      </c>
      <c r="S51" s="24">
        <v>710.89250000000004</v>
      </c>
      <c r="T51" s="24">
        <v>0.48</v>
      </c>
      <c r="U51" s="13"/>
    </row>
    <row r="52" spans="2:21" x14ac:dyDescent="0.2">
      <c r="B52" s="13"/>
      <c r="C52" s="59"/>
      <c r="D52" s="13" t="s">
        <v>127</v>
      </c>
      <c r="E52" s="13"/>
      <c r="F52" s="24">
        <v>36.950000000000003</v>
      </c>
      <c r="G52" s="24">
        <v>1365.135</v>
      </c>
      <c r="H52" s="24">
        <v>0.82</v>
      </c>
      <c r="I52" s="24"/>
      <c r="J52" s="24">
        <v>39.5</v>
      </c>
      <c r="K52" s="24">
        <v>1560.2325000000001</v>
      </c>
      <c r="L52" s="24">
        <v>0.84</v>
      </c>
      <c r="M52" s="24"/>
      <c r="N52" s="24">
        <v>28.024999999999999</v>
      </c>
      <c r="O52" s="24">
        <v>785.46749999999997</v>
      </c>
      <c r="P52" s="24">
        <v>0.68</v>
      </c>
      <c r="Q52" s="24"/>
      <c r="R52" s="24">
        <v>26.504999999999999</v>
      </c>
      <c r="S52" s="24">
        <v>702.495</v>
      </c>
      <c r="T52" s="24">
        <v>0.63</v>
      </c>
      <c r="U52" s="13"/>
    </row>
    <row r="53" spans="2:21" x14ac:dyDescent="0.2">
      <c r="B53" s="13"/>
      <c r="C53" s="59"/>
      <c r="D53" s="13" t="s">
        <v>73</v>
      </c>
      <c r="E53" s="13"/>
      <c r="F53" s="24">
        <v>34.46</v>
      </c>
      <c r="G53" s="24">
        <v>1187.5274999999999</v>
      </c>
      <c r="H53" s="24">
        <v>0.06</v>
      </c>
      <c r="I53" s="24"/>
      <c r="J53" s="24">
        <v>35.83</v>
      </c>
      <c r="K53" s="24">
        <v>1283.905</v>
      </c>
      <c r="L53" s="24">
        <v>0.57999999999999996</v>
      </c>
      <c r="M53" s="24"/>
      <c r="N53" s="24">
        <v>9.7100000000000009</v>
      </c>
      <c r="O53" s="24">
        <v>94.265000000000001</v>
      </c>
      <c r="P53" s="24">
        <v>0.36</v>
      </c>
      <c r="Q53" s="24"/>
      <c r="R53" s="24">
        <v>25.28</v>
      </c>
      <c r="S53" s="24">
        <v>639.06500000000005</v>
      </c>
      <c r="T53" s="24">
        <v>0.47</v>
      </c>
      <c r="U53" s="13"/>
    </row>
    <row r="54" spans="2:21" x14ac:dyDescent="0.2">
      <c r="B54" s="13"/>
      <c r="C54" s="59"/>
      <c r="D54" s="13" t="s">
        <v>128</v>
      </c>
      <c r="E54" s="13"/>
      <c r="F54" s="24">
        <v>30.36</v>
      </c>
      <c r="G54" s="24">
        <v>921.86</v>
      </c>
      <c r="H54" s="24">
        <v>0.38</v>
      </c>
      <c r="I54" s="24"/>
      <c r="J54" s="24">
        <v>39.265000000000001</v>
      </c>
      <c r="K54" s="24">
        <v>1541.8</v>
      </c>
      <c r="L54" s="24">
        <v>0.25</v>
      </c>
      <c r="M54" s="24"/>
      <c r="N54" s="24">
        <v>29.555</v>
      </c>
      <c r="O54" s="24">
        <v>873.37</v>
      </c>
      <c r="P54" s="24">
        <v>0.66</v>
      </c>
      <c r="Q54" s="24"/>
      <c r="R54" s="24">
        <v>30.934999999999999</v>
      </c>
      <c r="S54" s="24">
        <v>957.04750000000001</v>
      </c>
      <c r="T54" s="24">
        <v>0.31</v>
      </c>
      <c r="U54" s="13"/>
    </row>
    <row r="55" spans="2:21" ht="5" customHeight="1" x14ac:dyDescent="0.2">
      <c r="B55" s="13"/>
      <c r="C55" s="14"/>
      <c r="D55" s="13"/>
      <c r="E55" s="1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13"/>
    </row>
    <row r="56" spans="2:21" x14ac:dyDescent="0.2">
      <c r="B56" s="13"/>
      <c r="C56" s="59">
        <v>2</v>
      </c>
      <c r="D56" s="13" t="s">
        <v>124</v>
      </c>
      <c r="E56" s="13"/>
      <c r="F56" s="24">
        <v>22.94</v>
      </c>
      <c r="G56" s="24">
        <v>526.3175</v>
      </c>
      <c r="H56" s="24">
        <v>0.08</v>
      </c>
      <c r="I56" s="24"/>
      <c r="J56" s="24">
        <v>15.87</v>
      </c>
      <c r="K56" s="24">
        <v>251.82</v>
      </c>
      <c r="L56" s="24">
        <v>0.56999999999999995</v>
      </c>
      <c r="M56" s="24"/>
      <c r="N56" s="24">
        <v>9.86</v>
      </c>
      <c r="O56" s="24">
        <v>97.212500000000006</v>
      </c>
      <c r="P56" s="24">
        <v>0.49</v>
      </c>
      <c r="Q56" s="24"/>
      <c r="R56" s="24">
        <v>10.36</v>
      </c>
      <c r="S56" s="24">
        <v>107.2975</v>
      </c>
      <c r="T56" s="24">
        <v>0.33</v>
      </c>
      <c r="U56" s="13"/>
    </row>
    <row r="57" spans="2:21" x14ac:dyDescent="0.2">
      <c r="B57" s="13"/>
      <c r="C57" s="59"/>
      <c r="D57" s="13" t="s">
        <v>77</v>
      </c>
      <c r="E57" s="13"/>
      <c r="F57" s="24">
        <v>17.565000000000001</v>
      </c>
      <c r="G57" s="24">
        <v>308.49</v>
      </c>
      <c r="H57" s="24">
        <v>0.26</v>
      </c>
      <c r="I57" s="24"/>
      <c r="J57" s="24">
        <v>17.395</v>
      </c>
      <c r="K57" s="24">
        <v>302.61500000000001</v>
      </c>
      <c r="L57" s="24">
        <v>0.56999999999999995</v>
      </c>
      <c r="M57" s="24"/>
      <c r="N57" s="24">
        <v>18.059999999999999</v>
      </c>
      <c r="O57" s="24">
        <v>326.1925</v>
      </c>
      <c r="P57" s="24">
        <v>0.24</v>
      </c>
      <c r="Q57" s="24"/>
      <c r="R57" s="24">
        <v>10.465</v>
      </c>
      <c r="S57" s="24">
        <v>109.52249999999999</v>
      </c>
      <c r="T57" s="24">
        <v>0.08</v>
      </c>
      <c r="U57" s="13"/>
    </row>
    <row r="58" spans="2:21" x14ac:dyDescent="0.2">
      <c r="B58" s="13"/>
      <c r="C58" s="59"/>
      <c r="D58" s="13" t="s">
        <v>125</v>
      </c>
      <c r="E58" s="13"/>
      <c r="F58" s="24">
        <v>22.835000000000001</v>
      </c>
      <c r="G58" s="24">
        <v>521.42499999999995</v>
      </c>
      <c r="H58" s="24">
        <v>0.02</v>
      </c>
      <c r="I58" s="24"/>
      <c r="J58" s="24">
        <v>13.005000000000001</v>
      </c>
      <c r="K58" s="24">
        <v>169.07249999999999</v>
      </c>
      <c r="L58" s="24">
        <v>0.43</v>
      </c>
      <c r="M58" s="24"/>
      <c r="N58" s="24">
        <v>12.5</v>
      </c>
      <c r="O58" s="24">
        <v>156.24250000000001</v>
      </c>
      <c r="P58" s="24">
        <v>0.23</v>
      </c>
      <c r="Q58" s="24"/>
      <c r="R58" s="24">
        <v>14.815</v>
      </c>
      <c r="S58" s="24">
        <v>219.51</v>
      </c>
      <c r="T58" s="24">
        <v>0.22</v>
      </c>
      <c r="U58" s="13"/>
    </row>
    <row r="59" spans="2:21" x14ac:dyDescent="0.2">
      <c r="B59" s="13"/>
      <c r="C59" s="59"/>
      <c r="D59" s="13" t="s">
        <v>75</v>
      </c>
      <c r="E59" s="13"/>
      <c r="F59" s="24">
        <v>15.395</v>
      </c>
      <c r="G59" s="24">
        <v>236.93</v>
      </c>
      <c r="H59" s="24">
        <v>0.2</v>
      </c>
      <c r="I59" s="24"/>
      <c r="J59" s="24">
        <v>17.155000000000001</v>
      </c>
      <c r="K59" s="24">
        <v>294.21499999999997</v>
      </c>
      <c r="L59" s="24">
        <v>0.39</v>
      </c>
      <c r="M59" s="24"/>
      <c r="N59" s="24">
        <v>18.885000000000002</v>
      </c>
      <c r="O59" s="24">
        <v>356.6</v>
      </c>
      <c r="P59" s="24">
        <v>0.12</v>
      </c>
      <c r="Q59" s="24"/>
      <c r="R59" s="24">
        <v>13.585000000000001</v>
      </c>
      <c r="S59" s="24">
        <v>184.565</v>
      </c>
      <c r="T59" s="24">
        <v>0.05</v>
      </c>
      <c r="U59" s="13"/>
    </row>
    <row r="60" spans="2:21" x14ac:dyDescent="0.2">
      <c r="B60" s="13"/>
      <c r="C60" s="59"/>
      <c r="D60" s="13" t="s">
        <v>126</v>
      </c>
      <c r="E60" s="13"/>
      <c r="F60" s="24">
        <v>18.760000000000002</v>
      </c>
      <c r="G60" s="24">
        <v>351.935</v>
      </c>
      <c r="H60" s="24">
        <v>0.09</v>
      </c>
      <c r="I60" s="24"/>
      <c r="J60" s="24">
        <v>15.73</v>
      </c>
      <c r="K60" s="24">
        <v>247.42750000000001</v>
      </c>
      <c r="L60" s="24">
        <v>0.54</v>
      </c>
      <c r="M60" s="24"/>
      <c r="N60" s="24">
        <v>9.4049999999999994</v>
      </c>
      <c r="O60" s="24">
        <v>88.474999999999994</v>
      </c>
      <c r="P60" s="24">
        <v>0.51</v>
      </c>
      <c r="Q60" s="24"/>
      <c r="R60" s="24">
        <v>10.8</v>
      </c>
      <c r="S60" s="24">
        <v>116.6225</v>
      </c>
      <c r="T60" s="24">
        <v>0.28999999999999998</v>
      </c>
      <c r="U60" s="13"/>
    </row>
    <row r="61" spans="2:21" x14ac:dyDescent="0.2">
      <c r="B61" s="13"/>
      <c r="C61" s="59"/>
      <c r="D61" s="13" t="s">
        <v>127</v>
      </c>
      <c r="E61" s="13"/>
      <c r="F61" s="24">
        <v>20.16</v>
      </c>
      <c r="G61" s="24">
        <v>406.46499999999997</v>
      </c>
      <c r="H61" s="24">
        <v>0.14000000000000001</v>
      </c>
      <c r="I61" s="24"/>
      <c r="J61" s="24">
        <v>15.234999999999999</v>
      </c>
      <c r="K61" s="24">
        <v>232.04249999999999</v>
      </c>
      <c r="L61" s="24">
        <v>0.68</v>
      </c>
      <c r="M61" s="24"/>
      <c r="N61" s="24">
        <v>8.7650000000000006</v>
      </c>
      <c r="O61" s="24">
        <v>76.825000000000003</v>
      </c>
      <c r="P61" s="24">
        <v>0.28000000000000003</v>
      </c>
      <c r="Q61" s="24"/>
      <c r="R61" s="24">
        <v>17.434999999999999</v>
      </c>
      <c r="S61" s="24">
        <v>303.91750000000002</v>
      </c>
      <c r="T61" s="24">
        <v>0.09</v>
      </c>
      <c r="U61" s="13"/>
    </row>
    <row r="62" spans="2:21" x14ac:dyDescent="0.2">
      <c r="B62" s="13"/>
      <c r="C62" s="59"/>
      <c r="D62" s="13" t="s">
        <v>73</v>
      </c>
      <c r="E62" s="13"/>
      <c r="F62" s="24">
        <v>18.71</v>
      </c>
      <c r="G62" s="24">
        <v>350.02249999999998</v>
      </c>
      <c r="H62" s="24">
        <v>0.11</v>
      </c>
      <c r="I62" s="24"/>
      <c r="J62" s="24">
        <v>13.46</v>
      </c>
      <c r="K62" s="24">
        <v>181.17500000000001</v>
      </c>
      <c r="L62" s="24">
        <v>0.57999999999999996</v>
      </c>
      <c r="M62" s="24"/>
      <c r="N62" s="24">
        <v>12.67</v>
      </c>
      <c r="O62" s="24">
        <v>160.49</v>
      </c>
      <c r="P62" s="24">
        <v>0.27</v>
      </c>
      <c r="Q62" s="24"/>
      <c r="R62" s="24">
        <v>14.355</v>
      </c>
      <c r="S62" s="24">
        <v>206.05500000000001</v>
      </c>
      <c r="T62" s="24">
        <v>0.28000000000000003</v>
      </c>
      <c r="U62" s="13"/>
    </row>
    <row r="63" spans="2:21" x14ac:dyDescent="0.2">
      <c r="B63" s="13"/>
      <c r="C63" s="59"/>
      <c r="D63" s="13" t="s">
        <v>128</v>
      </c>
      <c r="E63" s="13"/>
      <c r="F63" s="24">
        <v>19</v>
      </c>
      <c r="G63" s="24">
        <v>360.94499999999999</v>
      </c>
      <c r="H63" s="24">
        <v>0.21</v>
      </c>
      <c r="I63" s="24"/>
      <c r="J63" s="24">
        <v>13.26</v>
      </c>
      <c r="K63" s="24">
        <v>175.76750000000001</v>
      </c>
      <c r="L63" s="24">
        <v>0.38</v>
      </c>
      <c r="M63" s="24"/>
      <c r="N63" s="24">
        <v>10.195</v>
      </c>
      <c r="O63" s="24">
        <v>103.8925</v>
      </c>
      <c r="P63" s="24">
        <v>0.25</v>
      </c>
      <c r="Q63" s="24"/>
      <c r="R63" s="24">
        <v>16.754999999999999</v>
      </c>
      <c r="S63" s="24">
        <v>280.78500000000003</v>
      </c>
      <c r="T63" s="24">
        <v>0.06</v>
      </c>
      <c r="U63" s="13"/>
    </row>
    <row r="64" spans="2:21" ht="5" customHeight="1" x14ac:dyDescent="0.2">
      <c r="B64" s="13"/>
      <c r="C64" s="14"/>
      <c r="D64" s="13"/>
      <c r="E64" s="1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13"/>
    </row>
    <row r="65" spans="2:21" x14ac:dyDescent="0.2">
      <c r="B65" s="13"/>
      <c r="C65" s="59">
        <v>3</v>
      </c>
      <c r="D65" s="13" t="s">
        <v>124</v>
      </c>
      <c r="E65" s="13"/>
      <c r="F65" s="24">
        <v>14.94</v>
      </c>
      <c r="G65" s="24">
        <v>223.14</v>
      </c>
      <c r="H65" s="24">
        <v>7.0000000000000007E-2</v>
      </c>
      <c r="I65" s="24"/>
      <c r="J65" s="24">
        <v>22.69</v>
      </c>
      <c r="K65" s="24">
        <v>514.83500000000004</v>
      </c>
      <c r="L65" s="24">
        <v>0.11</v>
      </c>
      <c r="M65" s="24"/>
      <c r="N65" s="24">
        <v>16.3</v>
      </c>
      <c r="O65" s="24">
        <v>265.65249999999997</v>
      </c>
      <c r="P65" s="24">
        <v>0.2</v>
      </c>
      <c r="Q65" s="24"/>
      <c r="R65" s="24">
        <v>9.8650000000000002</v>
      </c>
      <c r="S65" s="24">
        <v>97.322500000000005</v>
      </c>
      <c r="T65" s="24">
        <v>0.68</v>
      </c>
      <c r="U65" s="13"/>
    </row>
    <row r="66" spans="2:21" x14ac:dyDescent="0.2">
      <c r="B66" s="13"/>
      <c r="C66" s="59"/>
      <c r="D66" s="13" t="s">
        <v>77</v>
      </c>
      <c r="E66" s="13"/>
      <c r="F66" s="24">
        <v>15.37</v>
      </c>
      <c r="G66" s="24">
        <v>236.26</v>
      </c>
      <c r="H66" s="24">
        <v>0.04</v>
      </c>
      <c r="I66" s="24"/>
      <c r="J66" s="24">
        <v>17.754999999999999</v>
      </c>
      <c r="K66" s="24">
        <v>315.21499999999997</v>
      </c>
      <c r="L66" s="24">
        <v>0.06</v>
      </c>
      <c r="M66" s="24"/>
      <c r="N66" s="24">
        <v>18.504999999999999</v>
      </c>
      <c r="O66" s="24">
        <v>342.46249999999998</v>
      </c>
      <c r="P66" s="24">
        <v>0.31</v>
      </c>
      <c r="Q66" s="24"/>
      <c r="R66" s="24">
        <v>10.785</v>
      </c>
      <c r="S66" s="24">
        <v>116.33</v>
      </c>
      <c r="T66" s="24">
        <v>0.63</v>
      </c>
      <c r="U66" s="13"/>
    </row>
    <row r="67" spans="2:21" x14ac:dyDescent="0.2">
      <c r="B67" s="13"/>
      <c r="C67" s="59"/>
      <c r="D67" s="13" t="s">
        <v>125</v>
      </c>
      <c r="E67" s="13"/>
      <c r="F67" s="24">
        <v>15.654999999999999</v>
      </c>
      <c r="G67" s="24">
        <v>245.12</v>
      </c>
      <c r="H67" s="24">
        <v>0.11</v>
      </c>
      <c r="I67" s="24"/>
      <c r="J67" s="24">
        <v>19.97</v>
      </c>
      <c r="K67" s="24">
        <v>398.76749999999998</v>
      </c>
      <c r="L67" s="24">
        <v>0.06</v>
      </c>
      <c r="M67" s="24"/>
      <c r="N67" s="24">
        <v>15.965</v>
      </c>
      <c r="O67" s="24">
        <v>254.84</v>
      </c>
      <c r="P67" s="24">
        <v>0.23</v>
      </c>
      <c r="Q67" s="24"/>
      <c r="R67" s="24">
        <v>17.215</v>
      </c>
      <c r="S67" s="24">
        <v>296.3175</v>
      </c>
      <c r="T67" s="24">
        <v>0.45</v>
      </c>
      <c r="U67" s="13"/>
    </row>
    <row r="68" spans="2:21" x14ac:dyDescent="0.2">
      <c r="B68" s="13"/>
      <c r="C68" s="59"/>
      <c r="D68" s="13" t="s">
        <v>75</v>
      </c>
      <c r="E68" s="13"/>
      <c r="F68" s="24">
        <v>17.215</v>
      </c>
      <c r="G68" s="24">
        <v>296.27749999999997</v>
      </c>
      <c r="H68" s="24">
        <v>0.04</v>
      </c>
      <c r="I68" s="24"/>
      <c r="J68" s="24">
        <v>18.305</v>
      </c>
      <c r="K68" s="24">
        <v>335.09500000000003</v>
      </c>
      <c r="L68" s="24">
        <v>0.04</v>
      </c>
      <c r="M68" s="24"/>
      <c r="N68" s="24">
        <v>19.204999999999998</v>
      </c>
      <c r="O68" s="24">
        <v>368.7525</v>
      </c>
      <c r="P68" s="24">
        <v>0.16</v>
      </c>
      <c r="Q68" s="24"/>
      <c r="R68" s="24">
        <v>12.984999999999999</v>
      </c>
      <c r="S68" s="24">
        <v>168.66499999999999</v>
      </c>
      <c r="T68" s="24">
        <v>0.39</v>
      </c>
      <c r="U68" s="13"/>
    </row>
    <row r="69" spans="2:21" x14ac:dyDescent="0.2">
      <c r="B69" s="13"/>
      <c r="C69" s="59"/>
      <c r="D69" s="13" t="s">
        <v>126</v>
      </c>
      <c r="E69" s="13"/>
      <c r="F69" s="24">
        <v>15.02</v>
      </c>
      <c r="G69" s="24">
        <v>225.61250000000001</v>
      </c>
      <c r="H69" s="24">
        <v>0.11</v>
      </c>
      <c r="I69" s="24"/>
      <c r="J69" s="24">
        <v>17.364999999999998</v>
      </c>
      <c r="K69" s="24">
        <v>301.52749999999997</v>
      </c>
      <c r="L69" s="24">
        <v>0.1</v>
      </c>
      <c r="M69" s="24"/>
      <c r="N69" s="24">
        <v>15.744999999999999</v>
      </c>
      <c r="O69" s="24">
        <v>247.94749999999999</v>
      </c>
      <c r="P69" s="24">
        <v>0.34</v>
      </c>
      <c r="Q69" s="24"/>
      <c r="R69" s="24">
        <v>17.010000000000002</v>
      </c>
      <c r="S69" s="24">
        <v>289.33749999999998</v>
      </c>
      <c r="T69" s="24">
        <v>0.52</v>
      </c>
      <c r="U69" s="13"/>
    </row>
    <row r="70" spans="2:21" x14ac:dyDescent="0.2">
      <c r="B70" s="13"/>
      <c r="C70" s="59"/>
      <c r="D70" s="13" t="s">
        <v>127</v>
      </c>
      <c r="E70" s="13"/>
      <c r="F70" s="24">
        <v>14.24</v>
      </c>
      <c r="G70" s="24">
        <v>202.73750000000001</v>
      </c>
      <c r="H70" s="24">
        <v>0.14000000000000001</v>
      </c>
      <c r="I70" s="24"/>
      <c r="J70" s="24">
        <v>20.114999999999998</v>
      </c>
      <c r="K70" s="24">
        <v>404.58</v>
      </c>
      <c r="L70" s="24">
        <v>0.05</v>
      </c>
      <c r="M70" s="24"/>
      <c r="N70" s="24">
        <v>19.579999999999998</v>
      </c>
      <c r="O70" s="24">
        <v>383.4375</v>
      </c>
      <c r="P70" s="24">
        <v>0.4</v>
      </c>
      <c r="Q70" s="24"/>
      <c r="R70" s="24">
        <v>12</v>
      </c>
      <c r="S70" s="24">
        <v>143.9725</v>
      </c>
      <c r="T70" s="24">
        <v>0.55000000000000004</v>
      </c>
      <c r="U70" s="13"/>
    </row>
    <row r="71" spans="2:21" x14ac:dyDescent="0.2">
      <c r="B71" s="13"/>
      <c r="C71" s="59"/>
      <c r="D71" s="13" t="s">
        <v>73</v>
      </c>
      <c r="E71" s="13"/>
      <c r="F71" s="24">
        <v>16.074999999999999</v>
      </c>
      <c r="G71" s="24">
        <v>258.42250000000001</v>
      </c>
      <c r="H71" s="24">
        <v>0.08</v>
      </c>
      <c r="I71" s="24"/>
      <c r="J71" s="24">
        <v>16.45</v>
      </c>
      <c r="K71" s="24">
        <v>270.58499999999998</v>
      </c>
      <c r="L71" s="24">
        <v>0.05</v>
      </c>
      <c r="M71" s="24"/>
      <c r="N71" s="24">
        <v>18.690000000000001</v>
      </c>
      <c r="O71" s="24">
        <v>349.36</v>
      </c>
      <c r="P71" s="24">
        <v>0.19</v>
      </c>
      <c r="Q71" s="24"/>
      <c r="R71" s="24">
        <v>11.06</v>
      </c>
      <c r="S71" s="24">
        <v>122.35</v>
      </c>
      <c r="T71" s="24">
        <v>0.54</v>
      </c>
      <c r="U71" s="13"/>
    </row>
    <row r="72" spans="2:21" x14ac:dyDescent="0.2">
      <c r="B72" s="13"/>
      <c r="C72" s="59"/>
      <c r="D72" s="13" t="s">
        <v>128</v>
      </c>
      <c r="E72" s="13"/>
      <c r="F72" s="24">
        <v>14.695</v>
      </c>
      <c r="G72" s="24">
        <v>215.91</v>
      </c>
      <c r="H72" s="24">
        <v>0.16</v>
      </c>
      <c r="I72" s="24"/>
      <c r="J72" s="24">
        <v>19.3</v>
      </c>
      <c r="K72" s="24">
        <v>372.53500000000003</v>
      </c>
      <c r="L72" s="24">
        <v>0.08</v>
      </c>
      <c r="M72" s="24"/>
      <c r="N72" s="24">
        <v>17.52</v>
      </c>
      <c r="O72" s="24">
        <v>306.8775</v>
      </c>
      <c r="P72" s="24">
        <v>0.28000000000000003</v>
      </c>
      <c r="Q72" s="24"/>
      <c r="R72" s="24">
        <v>11.75</v>
      </c>
      <c r="S72" s="24">
        <v>138.08250000000001</v>
      </c>
      <c r="T72" s="24">
        <v>0.66</v>
      </c>
      <c r="U72" s="13"/>
    </row>
    <row r="73" spans="2:21" ht="5" customHeight="1" x14ac:dyDescent="0.2">
      <c r="B73" s="13"/>
      <c r="C73" s="14"/>
      <c r="D73" s="13"/>
      <c r="E73" s="1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13"/>
    </row>
    <row r="74" spans="2:21" x14ac:dyDescent="0.2">
      <c r="B74" s="13"/>
      <c r="C74" s="59">
        <v>4</v>
      </c>
      <c r="D74" s="13" t="s">
        <v>124</v>
      </c>
      <c r="E74" s="13"/>
      <c r="F74" s="24">
        <v>18.059999999999999</v>
      </c>
      <c r="G74" s="24">
        <v>326.08749999999998</v>
      </c>
      <c r="H74" s="24">
        <v>0.1</v>
      </c>
      <c r="I74" s="24"/>
      <c r="J74" s="24">
        <v>16.495000000000001</v>
      </c>
      <c r="K74" s="24">
        <v>272.03500000000003</v>
      </c>
      <c r="L74" s="24">
        <v>0.13</v>
      </c>
      <c r="M74" s="24"/>
      <c r="N74" s="24">
        <v>11.81</v>
      </c>
      <c r="O74" s="24">
        <v>139.52250000000001</v>
      </c>
      <c r="P74" s="24">
        <v>0.66</v>
      </c>
      <c r="Q74" s="24"/>
      <c r="R74" s="24">
        <v>6.98</v>
      </c>
      <c r="S74" s="24">
        <v>48.734999999999999</v>
      </c>
      <c r="T74" s="24">
        <v>0.51</v>
      </c>
      <c r="U74" s="13"/>
    </row>
    <row r="75" spans="2:21" x14ac:dyDescent="0.2">
      <c r="B75" s="13"/>
      <c r="C75" s="59"/>
      <c r="D75" s="13" t="s">
        <v>77</v>
      </c>
      <c r="E75" s="13"/>
      <c r="F75" s="24">
        <v>11.66</v>
      </c>
      <c r="G75" s="24">
        <v>135.935</v>
      </c>
      <c r="H75" s="24">
        <v>0.22</v>
      </c>
      <c r="I75" s="24"/>
      <c r="J75" s="24">
        <v>11.885</v>
      </c>
      <c r="K75" s="24">
        <v>141.2525</v>
      </c>
      <c r="L75" s="24">
        <v>0.09</v>
      </c>
      <c r="M75" s="24"/>
      <c r="N75" s="24">
        <v>12.115</v>
      </c>
      <c r="O75" s="24">
        <v>146.76249999999999</v>
      </c>
      <c r="P75" s="24">
        <v>0.71</v>
      </c>
      <c r="Q75" s="24"/>
      <c r="R75" s="24">
        <v>7.23</v>
      </c>
      <c r="S75" s="24">
        <v>52.265000000000001</v>
      </c>
      <c r="T75" s="24">
        <v>0.39</v>
      </c>
      <c r="U75" s="13"/>
    </row>
    <row r="76" spans="2:21" x14ac:dyDescent="0.2">
      <c r="B76" s="13"/>
      <c r="C76" s="59"/>
      <c r="D76" s="13" t="s">
        <v>125</v>
      </c>
      <c r="E76" s="13"/>
      <c r="F76" s="24">
        <v>23.71</v>
      </c>
      <c r="G76" s="24">
        <v>562.14750000000004</v>
      </c>
      <c r="H76" s="24">
        <v>0.17</v>
      </c>
      <c r="I76" s="24"/>
      <c r="J76" s="24">
        <v>14.765000000000001</v>
      </c>
      <c r="K76" s="24">
        <v>218.03</v>
      </c>
      <c r="L76" s="24">
        <v>0.27</v>
      </c>
      <c r="M76" s="24"/>
      <c r="N76" s="24">
        <v>14.105</v>
      </c>
      <c r="O76" s="24">
        <v>198.89250000000001</v>
      </c>
      <c r="P76" s="24">
        <v>0.38</v>
      </c>
      <c r="Q76" s="24"/>
      <c r="R76" s="24">
        <v>6.53</v>
      </c>
      <c r="S76" s="24">
        <v>42.627499999999998</v>
      </c>
      <c r="T76" s="24">
        <v>0.62</v>
      </c>
      <c r="U76" s="13"/>
    </row>
    <row r="77" spans="2:21" x14ac:dyDescent="0.2">
      <c r="B77" s="13"/>
      <c r="C77" s="59"/>
      <c r="D77" s="13" t="s">
        <v>75</v>
      </c>
      <c r="E77" s="13"/>
      <c r="F77" s="24">
        <v>16.745000000000001</v>
      </c>
      <c r="G77" s="24">
        <v>280.47750000000002</v>
      </c>
      <c r="H77" s="24">
        <v>0.08</v>
      </c>
      <c r="I77" s="24"/>
      <c r="J77" s="24">
        <v>17.32</v>
      </c>
      <c r="K77" s="24">
        <v>300.06</v>
      </c>
      <c r="L77" s="24">
        <v>0.2</v>
      </c>
      <c r="M77" s="24"/>
      <c r="N77" s="24">
        <v>7.43</v>
      </c>
      <c r="O77" s="24">
        <v>55.185000000000002</v>
      </c>
      <c r="P77" s="24">
        <v>0.82</v>
      </c>
      <c r="Q77" s="24"/>
      <c r="R77" s="24">
        <v>9.24</v>
      </c>
      <c r="S77" s="24">
        <v>85.394999999999996</v>
      </c>
      <c r="T77" s="24">
        <v>0.3</v>
      </c>
      <c r="U77" s="13"/>
    </row>
    <row r="78" spans="2:21" x14ac:dyDescent="0.2">
      <c r="B78" s="13"/>
      <c r="C78" s="59"/>
      <c r="D78" s="13" t="s">
        <v>126</v>
      </c>
      <c r="E78" s="13"/>
      <c r="F78" s="24">
        <v>18.399999999999999</v>
      </c>
      <c r="G78" s="24">
        <v>338.5675</v>
      </c>
      <c r="H78" s="24">
        <v>0.04</v>
      </c>
      <c r="I78" s="24"/>
      <c r="J78" s="24">
        <v>15.475</v>
      </c>
      <c r="K78" s="24">
        <v>239.54750000000001</v>
      </c>
      <c r="L78" s="24">
        <v>0.25</v>
      </c>
      <c r="M78" s="24"/>
      <c r="N78" s="24">
        <v>13.555</v>
      </c>
      <c r="O78" s="24">
        <v>183.76</v>
      </c>
      <c r="P78" s="24">
        <v>0.63</v>
      </c>
      <c r="Q78" s="24"/>
      <c r="R78" s="24">
        <v>7.2949999999999999</v>
      </c>
      <c r="S78" s="24">
        <v>53.2</v>
      </c>
      <c r="T78" s="24">
        <v>0.44</v>
      </c>
      <c r="U78" s="13"/>
    </row>
    <row r="79" spans="2:21" x14ac:dyDescent="0.2">
      <c r="B79" s="13"/>
      <c r="C79" s="59"/>
      <c r="D79" s="13" t="s">
        <v>127</v>
      </c>
      <c r="E79" s="13"/>
      <c r="F79" s="24">
        <v>19.885000000000002</v>
      </c>
      <c r="G79" s="24">
        <v>395.46249999999998</v>
      </c>
      <c r="H79" s="24">
        <v>0.24</v>
      </c>
      <c r="I79" s="24"/>
      <c r="J79" s="24">
        <v>7.0549999999999997</v>
      </c>
      <c r="K79" s="24">
        <v>49.784999999999997</v>
      </c>
      <c r="L79" s="24">
        <v>0.11</v>
      </c>
      <c r="M79" s="24"/>
      <c r="N79" s="24">
        <v>16.73</v>
      </c>
      <c r="O79" s="24">
        <v>279.89</v>
      </c>
      <c r="P79" s="24">
        <v>0.46</v>
      </c>
      <c r="Q79" s="24"/>
      <c r="R79" s="24">
        <v>8.8650000000000002</v>
      </c>
      <c r="S79" s="24">
        <v>78.572500000000005</v>
      </c>
      <c r="T79" s="24">
        <v>0.47</v>
      </c>
      <c r="U79" s="13"/>
    </row>
    <row r="80" spans="2:21" x14ac:dyDescent="0.2">
      <c r="B80" s="13"/>
      <c r="C80" s="59"/>
      <c r="D80" s="13" t="s">
        <v>73</v>
      </c>
      <c r="E80" s="13"/>
      <c r="F80" s="24">
        <v>16.984999999999999</v>
      </c>
      <c r="G80" s="24">
        <v>288.45249999999999</v>
      </c>
      <c r="H80" s="24">
        <v>0.11</v>
      </c>
      <c r="I80" s="24"/>
      <c r="J80" s="24">
        <v>15.49</v>
      </c>
      <c r="K80" s="24">
        <v>239.89750000000001</v>
      </c>
      <c r="L80" s="24">
        <v>0.2</v>
      </c>
      <c r="M80" s="24"/>
      <c r="N80" s="24">
        <v>13.73</v>
      </c>
      <c r="O80" s="24">
        <v>188.44749999999999</v>
      </c>
      <c r="P80" s="24">
        <v>0.6</v>
      </c>
      <c r="Q80" s="24"/>
      <c r="R80" s="24">
        <v>4.8550000000000004</v>
      </c>
      <c r="S80" s="24">
        <v>23.58</v>
      </c>
      <c r="T80" s="24">
        <v>0.74</v>
      </c>
      <c r="U80" s="13"/>
    </row>
    <row r="81" spans="2:21" ht="16" thickBot="1" x14ac:dyDescent="0.25">
      <c r="B81" s="13"/>
      <c r="C81" s="60"/>
      <c r="D81" s="15" t="s">
        <v>128</v>
      </c>
      <c r="E81" s="15"/>
      <c r="F81" s="50">
        <v>10.055</v>
      </c>
      <c r="G81" s="50">
        <v>101.145</v>
      </c>
      <c r="H81" s="50">
        <v>0.11</v>
      </c>
      <c r="I81" s="50"/>
      <c r="J81" s="50">
        <v>15.725</v>
      </c>
      <c r="K81" s="50">
        <v>247.31</v>
      </c>
      <c r="L81" s="50">
        <v>0.33</v>
      </c>
      <c r="M81" s="50"/>
      <c r="N81" s="50">
        <v>15.93</v>
      </c>
      <c r="O81" s="50">
        <v>253.76249999999999</v>
      </c>
      <c r="P81" s="50">
        <v>0.28000000000000003</v>
      </c>
      <c r="Q81" s="50"/>
      <c r="R81" s="50">
        <v>7.8150000000000004</v>
      </c>
      <c r="S81" s="50">
        <v>61.064999999999998</v>
      </c>
      <c r="T81" s="50">
        <v>0.41</v>
      </c>
      <c r="U81" s="13"/>
    </row>
    <row r="82" spans="2:21" x14ac:dyDescent="0.2">
      <c r="B82" s="13"/>
      <c r="C82" s="41" t="s">
        <v>133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2:21" x14ac:dyDescent="0.2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2:21" x14ac:dyDescent="0.2">
      <c r="B84" s="13"/>
      <c r="C84" s="13" t="s">
        <v>129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2:21" ht="16" thickBot="1" x14ac:dyDescent="0.25"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3"/>
    </row>
    <row r="86" spans="2:21" x14ac:dyDescent="0.2">
      <c r="B86" s="13"/>
      <c r="C86" s="13"/>
      <c r="D86" s="13"/>
      <c r="E86" s="13"/>
      <c r="F86" s="58" t="s">
        <v>118</v>
      </c>
      <c r="G86" s="58"/>
      <c r="H86" s="58"/>
      <c r="I86" s="14"/>
      <c r="J86" s="58" t="s">
        <v>119</v>
      </c>
      <c r="K86" s="58"/>
      <c r="L86" s="58"/>
      <c r="M86" s="14"/>
      <c r="N86" s="58" t="s">
        <v>120</v>
      </c>
      <c r="O86" s="58"/>
      <c r="P86" s="58"/>
      <c r="Q86" s="14"/>
      <c r="R86" s="58" t="s">
        <v>121</v>
      </c>
      <c r="S86" s="58"/>
      <c r="T86" s="58"/>
      <c r="U86" s="13"/>
    </row>
    <row r="87" spans="2:21" x14ac:dyDescent="0.2">
      <c r="B87" s="13"/>
      <c r="C87" s="25" t="s">
        <v>55</v>
      </c>
      <c r="D87" s="25" t="s">
        <v>71</v>
      </c>
      <c r="E87" s="25"/>
      <c r="F87" s="25" t="s">
        <v>54</v>
      </c>
      <c r="G87" s="25" t="s">
        <v>122</v>
      </c>
      <c r="H87" s="25" t="s">
        <v>123</v>
      </c>
      <c r="I87" s="25"/>
      <c r="J87" s="25" t="s">
        <v>54</v>
      </c>
      <c r="K87" s="25" t="s">
        <v>122</v>
      </c>
      <c r="L87" s="25" t="s">
        <v>123</v>
      </c>
      <c r="M87" s="25"/>
      <c r="N87" s="25" t="s">
        <v>54</v>
      </c>
      <c r="O87" s="25" t="s">
        <v>122</v>
      </c>
      <c r="P87" s="25" t="s">
        <v>123</v>
      </c>
      <c r="Q87" s="25"/>
      <c r="R87" s="25" t="s">
        <v>54</v>
      </c>
      <c r="S87" s="25" t="s">
        <v>122</v>
      </c>
      <c r="T87" s="25" t="s">
        <v>123</v>
      </c>
      <c r="U87" s="13"/>
    </row>
    <row r="88" spans="2:21" x14ac:dyDescent="0.2">
      <c r="B88" s="13"/>
      <c r="C88" s="59">
        <v>1</v>
      </c>
      <c r="D88" s="13" t="s">
        <v>124</v>
      </c>
      <c r="E88" s="13"/>
      <c r="F88" s="24">
        <v>0.1</v>
      </c>
      <c r="G88" s="24">
        <v>0.01</v>
      </c>
      <c r="H88" s="24">
        <v>0.48</v>
      </c>
      <c r="I88" s="24"/>
      <c r="J88" s="24">
        <v>0.11</v>
      </c>
      <c r="K88" s="24">
        <v>1.2500000000000001E-2</v>
      </c>
      <c r="L88" s="24">
        <v>0.73</v>
      </c>
      <c r="M88" s="24"/>
      <c r="N88" s="24">
        <v>9.5000000000000001E-2</v>
      </c>
      <c r="O88" s="24">
        <v>0.01</v>
      </c>
      <c r="P88" s="24">
        <v>0.12</v>
      </c>
      <c r="Q88" s="24"/>
      <c r="R88" s="24">
        <v>0.05</v>
      </c>
      <c r="S88" s="24">
        <v>2.5000000000000001E-3</v>
      </c>
      <c r="T88" s="24">
        <v>0.92</v>
      </c>
      <c r="U88" s="13"/>
    </row>
    <row r="89" spans="2:21" x14ac:dyDescent="0.2">
      <c r="B89" s="13"/>
      <c r="C89" s="59"/>
      <c r="D89" s="13" t="s">
        <v>77</v>
      </c>
      <c r="E89" s="13"/>
      <c r="F89" s="24">
        <v>0.14499999999999999</v>
      </c>
      <c r="G89" s="24">
        <v>0.02</v>
      </c>
      <c r="H89" s="24">
        <v>0.63</v>
      </c>
      <c r="I89" s="24"/>
      <c r="J89" s="24">
        <v>0.1</v>
      </c>
      <c r="K89" s="24">
        <v>0.01</v>
      </c>
      <c r="L89" s="24">
        <v>0.75</v>
      </c>
      <c r="M89" s="24"/>
      <c r="N89" s="24">
        <v>0.17499999999999999</v>
      </c>
      <c r="O89" s="24">
        <v>3.2500000000000001E-2</v>
      </c>
      <c r="P89" s="24">
        <v>0.03</v>
      </c>
      <c r="Q89" s="24"/>
      <c r="R89" s="24">
        <v>0.105</v>
      </c>
      <c r="S89" s="24">
        <v>0.01</v>
      </c>
      <c r="T89" s="24">
        <v>0.27</v>
      </c>
      <c r="U89" s="13"/>
    </row>
    <row r="90" spans="2:21" x14ac:dyDescent="0.2">
      <c r="B90" s="13"/>
      <c r="C90" s="59"/>
      <c r="D90" s="13" t="s">
        <v>125</v>
      </c>
      <c r="E90" s="13"/>
      <c r="F90" s="24">
        <v>8.5000000000000006E-2</v>
      </c>
      <c r="G90" s="24">
        <v>7.4999999999999997E-3</v>
      </c>
      <c r="H90" s="24">
        <v>0.22</v>
      </c>
      <c r="I90" s="24"/>
      <c r="J90" s="24">
        <v>0.08</v>
      </c>
      <c r="K90" s="24">
        <v>7.4999999999999997E-3</v>
      </c>
      <c r="L90" s="24">
        <v>0.61</v>
      </c>
      <c r="M90" s="24"/>
      <c r="N90" s="24">
        <v>8.5000000000000006E-2</v>
      </c>
      <c r="O90" s="24">
        <v>7.4999999999999997E-3</v>
      </c>
      <c r="P90" s="24">
        <v>0.28999999999999998</v>
      </c>
      <c r="Q90" s="24"/>
      <c r="R90" s="24">
        <v>0.08</v>
      </c>
      <c r="S90" s="24">
        <v>5.0000000000000001E-3</v>
      </c>
      <c r="T90" s="24">
        <v>0.57999999999999996</v>
      </c>
      <c r="U90" s="13"/>
    </row>
    <row r="91" spans="2:21" x14ac:dyDescent="0.2">
      <c r="B91" s="13"/>
      <c r="C91" s="59"/>
      <c r="D91" s="13" t="s">
        <v>75</v>
      </c>
      <c r="E91" s="13"/>
      <c r="F91" s="24">
        <v>0.12</v>
      </c>
      <c r="G91" s="24">
        <v>1.4999999999999999E-2</v>
      </c>
      <c r="H91" s="24">
        <v>0.18</v>
      </c>
      <c r="I91" s="24"/>
      <c r="J91" s="24">
        <v>7.4999999999999997E-2</v>
      </c>
      <c r="K91" s="24">
        <v>5.0000000000000001E-3</v>
      </c>
      <c r="L91" s="24">
        <v>0.59</v>
      </c>
      <c r="M91" s="24"/>
      <c r="N91" s="24">
        <v>0.23</v>
      </c>
      <c r="O91" s="24">
        <v>5.2499999999999998E-2</v>
      </c>
      <c r="P91" s="24">
        <v>0.25</v>
      </c>
      <c r="Q91" s="24"/>
      <c r="R91" s="24">
        <v>0.08</v>
      </c>
      <c r="S91" s="24">
        <v>7.4999999999999997E-3</v>
      </c>
      <c r="T91" s="24">
        <v>0.55000000000000004</v>
      </c>
      <c r="U91" s="13"/>
    </row>
    <row r="92" spans="2:21" x14ac:dyDescent="0.2">
      <c r="B92" s="13"/>
      <c r="C92" s="59"/>
      <c r="D92" s="13" t="s">
        <v>126</v>
      </c>
      <c r="E92" s="13"/>
      <c r="F92" s="24">
        <v>0.08</v>
      </c>
      <c r="G92" s="24">
        <v>7.4999999999999997E-3</v>
      </c>
      <c r="H92" s="24">
        <v>0.63</v>
      </c>
      <c r="I92" s="24"/>
      <c r="J92" s="24">
        <v>0.09</v>
      </c>
      <c r="K92" s="24">
        <v>7.4999999999999997E-3</v>
      </c>
      <c r="L92" s="24">
        <v>0.74</v>
      </c>
      <c r="M92" s="24"/>
      <c r="N92" s="24">
        <v>8.5000000000000006E-2</v>
      </c>
      <c r="O92" s="24">
        <v>7.4999999999999997E-3</v>
      </c>
      <c r="P92" s="24">
        <v>0.23</v>
      </c>
      <c r="Q92" s="24"/>
      <c r="R92" s="24">
        <v>9.5000000000000001E-2</v>
      </c>
      <c r="S92" s="24">
        <v>7.4999999999999997E-3</v>
      </c>
      <c r="T92" s="24">
        <v>0.4</v>
      </c>
      <c r="U92" s="13"/>
    </row>
    <row r="93" spans="2:21" x14ac:dyDescent="0.2">
      <c r="B93" s="13"/>
      <c r="C93" s="59"/>
      <c r="D93" s="13" t="s">
        <v>127</v>
      </c>
      <c r="E93" s="13"/>
      <c r="F93" s="24">
        <v>9.5000000000000001E-2</v>
      </c>
      <c r="G93" s="24">
        <v>7.4999999999999997E-3</v>
      </c>
      <c r="H93" s="24">
        <v>0.53</v>
      </c>
      <c r="I93" s="24"/>
      <c r="J93" s="24">
        <v>7.0000000000000007E-2</v>
      </c>
      <c r="K93" s="24">
        <v>5.0000000000000001E-3</v>
      </c>
      <c r="L93" s="24">
        <v>0.88</v>
      </c>
      <c r="M93" s="24"/>
      <c r="N93" s="24">
        <v>8.5000000000000006E-2</v>
      </c>
      <c r="O93" s="24">
        <v>7.4999999999999997E-3</v>
      </c>
      <c r="P93" s="24">
        <v>0.26</v>
      </c>
      <c r="Q93" s="24"/>
      <c r="R93" s="24">
        <v>8.5000000000000006E-2</v>
      </c>
      <c r="S93" s="24">
        <v>7.4999999999999997E-3</v>
      </c>
      <c r="T93" s="24">
        <v>0.6</v>
      </c>
      <c r="U93" s="13"/>
    </row>
    <row r="94" spans="2:21" x14ac:dyDescent="0.2">
      <c r="B94" s="13"/>
      <c r="C94" s="59"/>
      <c r="D94" s="13" t="s">
        <v>73</v>
      </c>
      <c r="E94" s="13"/>
      <c r="F94" s="24">
        <v>9.5000000000000001E-2</v>
      </c>
      <c r="G94" s="24">
        <v>0.01</v>
      </c>
      <c r="H94" s="24">
        <v>0.26</v>
      </c>
      <c r="I94" s="24"/>
      <c r="J94" s="24">
        <v>7.4999999999999997E-2</v>
      </c>
      <c r="K94" s="24">
        <v>5.0000000000000001E-3</v>
      </c>
      <c r="L94" s="24">
        <v>0.75</v>
      </c>
      <c r="M94" s="24"/>
      <c r="N94" s="24">
        <v>8.5000000000000006E-2</v>
      </c>
      <c r="O94" s="24">
        <v>7.4999999999999997E-3</v>
      </c>
      <c r="P94" s="24">
        <v>0.28000000000000003</v>
      </c>
      <c r="Q94" s="24"/>
      <c r="R94" s="24">
        <v>8.5000000000000006E-2</v>
      </c>
      <c r="S94" s="24">
        <v>7.4999999999999997E-3</v>
      </c>
      <c r="T94" s="24">
        <v>0.5</v>
      </c>
      <c r="U94" s="13"/>
    </row>
    <row r="95" spans="2:21" x14ac:dyDescent="0.2">
      <c r="B95" s="13"/>
      <c r="C95" s="59"/>
      <c r="D95" s="13" t="s">
        <v>128</v>
      </c>
      <c r="E95" s="13"/>
      <c r="F95" s="24">
        <v>0.08</v>
      </c>
      <c r="G95" s="24">
        <v>7.4999999999999997E-3</v>
      </c>
      <c r="H95" s="24">
        <v>0.34</v>
      </c>
      <c r="I95" s="24"/>
      <c r="J95" s="24">
        <v>0.115</v>
      </c>
      <c r="K95" s="24">
        <v>1.2500000000000001E-2</v>
      </c>
      <c r="L95" s="24">
        <v>0.56000000000000005</v>
      </c>
      <c r="M95" s="24"/>
      <c r="N95" s="24">
        <v>9.5000000000000001E-2</v>
      </c>
      <c r="O95" s="24">
        <v>7.4999999999999997E-3</v>
      </c>
      <c r="P95" s="24">
        <v>0.02</v>
      </c>
      <c r="Q95" s="24"/>
      <c r="R95" s="24">
        <v>0.11</v>
      </c>
      <c r="S95" s="24">
        <v>1.2500000000000001E-2</v>
      </c>
      <c r="T95" s="24">
        <v>0.28000000000000003</v>
      </c>
      <c r="U95" s="13"/>
    </row>
    <row r="96" spans="2:21" ht="5" customHeight="1" x14ac:dyDescent="0.2">
      <c r="B96" s="13"/>
      <c r="C96" s="14"/>
      <c r="D96" s="13"/>
      <c r="E96" s="13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13"/>
    </row>
    <row r="97" spans="2:21" x14ac:dyDescent="0.2">
      <c r="B97" s="13"/>
      <c r="C97" s="59">
        <v>2</v>
      </c>
      <c r="D97" s="13" t="s">
        <v>124</v>
      </c>
      <c r="E97" s="13"/>
      <c r="F97" s="24">
        <v>0.12</v>
      </c>
      <c r="G97" s="24">
        <v>1.4999999999999999E-2</v>
      </c>
      <c r="H97" s="24">
        <v>0.21</v>
      </c>
      <c r="I97" s="24"/>
      <c r="J97" s="24">
        <v>7.4999999999999997E-2</v>
      </c>
      <c r="K97" s="24">
        <v>5.0000000000000001E-3</v>
      </c>
      <c r="L97" s="24">
        <v>0.42</v>
      </c>
      <c r="M97" s="24"/>
      <c r="N97" s="24">
        <v>0.105</v>
      </c>
      <c r="O97" s="24">
        <v>0.01</v>
      </c>
      <c r="P97" s="24">
        <v>0.33</v>
      </c>
      <c r="Q97" s="24"/>
      <c r="R97" s="24">
        <v>6.5000000000000002E-2</v>
      </c>
      <c r="S97" s="24">
        <v>5.0000000000000001E-3</v>
      </c>
      <c r="T97" s="24">
        <v>0.28999999999999998</v>
      </c>
      <c r="U97" s="13"/>
    </row>
    <row r="98" spans="2:21" x14ac:dyDescent="0.2">
      <c r="B98" s="13"/>
      <c r="C98" s="59"/>
      <c r="D98" s="13" t="s">
        <v>77</v>
      </c>
      <c r="E98" s="13"/>
      <c r="F98" s="24">
        <v>9.5000000000000001E-2</v>
      </c>
      <c r="G98" s="24">
        <v>0.01</v>
      </c>
      <c r="H98" s="24">
        <v>0.23</v>
      </c>
      <c r="I98" s="24"/>
      <c r="J98" s="24">
        <v>0.09</v>
      </c>
      <c r="K98" s="24">
        <v>7.4999999999999997E-3</v>
      </c>
      <c r="L98" s="24">
        <v>0.24</v>
      </c>
      <c r="M98" s="24"/>
      <c r="N98" s="24">
        <v>8.5000000000000006E-2</v>
      </c>
      <c r="O98" s="24">
        <v>7.4999999999999997E-3</v>
      </c>
      <c r="P98" s="24">
        <v>0.25</v>
      </c>
      <c r="Q98" s="24"/>
      <c r="R98" s="24">
        <v>0.06</v>
      </c>
      <c r="S98" s="24">
        <v>2.5000000000000001E-3</v>
      </c>
      <c r="T98" s="24">
        <v>0.26</v>
      </c>
      <c r="U98" s="13"/>
    </row>
    <row r="99" spans="2:21" x14ac:dyDescent="0.2">
      <c r="B99" s="13"/>
      <c r="C99" s="59"/>
      <c r="D99" s="13" t="s">
        <v>125</v>
      </c>
      <c r="E99" s="13"/>
      <c r="F99" s="24">
        <v>0.11</v>
      </c>
      <c r="G99" s="24">
        <v>1.2500000000000001E-2</v>
      </c>
      <c r="H99" s="24">
        <v>0.01</v>
      </c>
      <c r="I99" s="24"/>
      <c r="J99" s="24">
        <v>0.09</v>
      </c>
      <c r="K99" s="24">
        <v>7.4999999999999997E-3</v>
      </c>
      <c r="L99" s="24">
        <v>0.2</v>
      </c>
      <c r="M99" s="24"/>
      <c r="N99" s="24">
        <v>0.11</v>
      </c>
      <c r="O99" s="24">
        <v>1.2500000000000001E-2</v>
      </c>
      <c r="P99" s="24">
        <v>0.15</v>
      </c>
      <c r="Q99" s="24"/>
      <c r="R99" s="24">
        <v>0.09</v>
      </c>
      <c r="S99" s="24">
        <v>7.4999999999999997E-3</v>
      </c>
      <c r="T99" s="24">
        <v>0.23</v>
      </c>
      <c r="U99" s="13"/>
    </row>
    <row r="100" spans="2:21" x14ac:dyDescent="0.2">
      <c r="B100" s="13"/>
      <c r="C100" s="59"/>
      <c r="D100" s="13" t="s">
        <v>75</v>
      </c>
      <c r="E100" s="13"/>
      <c r="F100" s="24">
        <v>0.11</v>
      </c>
      <c r="G100" s="24">
        <v>1.2500000000000001E-2</v>
      </c>
      <c r="H100" s="24">
        <v>0.05</v>
      </c>
      <c r="I100" s="24"/>
      <c r="J100" s="24">
        <v>6.5000000000000002E-2</v>
      </c>
      <c r="K100" s="24">
        <v>5.0000000000000001E-3</v>
      </c>
      <c r="L100" s="24">
        <v>0.34</v>
      </c>
      <c r="M100" s="24"/>
      <c r="N100" s="24">
        <v>0.105</v>
      </c>
      <c r="O100" s="24">
        <v>1.2500000000000001E-2</v>
      </c>
      <c r="P100" s="24">
        <v>0.13</v>
      </c>
      <c r="Q100" s="24"/>
      <c r="R100" s="24">
        <v>7.4999999999999997E-2</v>
      </c>
      <c r="S100" s="24">
        <v>5.0000000000000001E-3</v>
      </c>
      <c r="T100" s="24">
        <v>0.13</v>
      </c>
      <c r="U100" s="13"/>
    </row>
    <row r="101" spans="2:21" x14ac:dyDescent="0.2">
      <c r="B101" s="13"/>
      <c r="C101" s="59"/>
      <c r="D101" s="13" t="s">
        <v>126</v>
      </c>
      <c r="E101" s="13"/>
      <c r="F101" s="24">
        <v>0.12</v>
      </c>
      <c r="G101" s="24">
        <v>1.4999999999999999E-2</v>
      </c>
      <c r="H101" s="24">
        <v>0.06</v>
      </c>
      <c r="I101" s="24"/>
      <c r="J101" s="24">
        <v>8.5000000000000006E-2</v>
      </c>
      <c r="K101" s="24">
        <v>7.4999999999999997E-3</v>
      </c>
      <c r="L101" s="24">
        <v>0.22</v>
      </c>
      <c r="M101" s="24"/>
      <c r="N101" s="24">
        <v>0.1</v>
      </c>
      <c r="O101" s="24">
        <v>0.01</v>
      </c>
      <c r="P101" s="24">
        <v>0.5</v>
      </c>
      <c r="Q101" s="24"/>
      <c r="R101" s="24">
        <v>6.5000000000000002E-2</v>
      </c>
      <c r="S101" s="24">
        <v>5.0000000000000001E-3</v>
      </c>
      <c r="T101" s="24">
        <v>0.37</v>
      </c>
      <c r="U101" s="13"/>
    </row>
    <row r="102" spans="2:21" x14ac:dyDescent="0.2">
      <c r="B102" s="13"/>
      <c r="C102" s="59"/>
      <c r="D102" s="13" t="s">
        <v>127</v>
      </c>
      <c r="E102" s="13"/>
      <c r="F102" s="24">
        <v>0.125</v>
      </c>
      <c r="G102" s="24">
        <v>1.4999999999999999E-2</v>
      </c>
      <c r="H102" s="24">
        <v>0.19</v>
      </c>
      <c r="I102" s="24"/>
      <c r="J102" s="24">
        <v>7.0000000000000007E-2</v>
      </c>
      <c r="K102" s="24">
        <v>5.0000000000000001E-3</v>
      </c>
      <c r="L102" s="24">
        <v>0.38</v>
      </c>
      <c r="M102" s="24"/>
      <c r="N102" s="24">
        <v>0.105</v>
      </c>
      <c r="O102" s="24">
        <v>0.01</v>
      </c>
      <c r="P102" s="24">
        <v>0.57999999999999996</v>
      </c>
      <c r="Q102" s="24"/>
      <c r="R102" s="24">
        <v>6.5000000000000002E-2</v>
      </c>
      <c r="S102" s="24">
        <v>5.0000000000000001E-3</v>
      </c>
      <c r="T102" s="24">
        <v>0.4</v>
      </c>
      <c r="U102" s="13"/>
    </row>
    <row r="103" spans="2:21" x14ac:dyDescent="0.2">
      <c r="B103" s="13"/>
      <c r="C103" s="59"/>
      <c r="D103" s="13" t="s">
        <v>73</v>
      </c>
      <c r="E103" s="13"/>
      <c r="F103" s="24">
        <v>8.5000000000000006E-2</v>
      </c>
      <c r="G103" s="24">
        <v>7.4999999999999997E-3</v>
      </c>
      <c r="H103" s="51">
        <v>0.22</v>
      </c>
      <c r="I103" s="51"/>
      <c r="J103" s="24">
        <v>0.08</v>
      </c>
      <c r="K103" s="24">
        <v>7.4999999999999997E-3</v>
      </c>
      <c r="L103" s="24">
        <v>0.28000000000000003</v>
      </c>
      <c r="M103" s="24"/>
      <c r="N103" s="24">
        <v>0.11</v>
      </c>
      <c r="O103" s="24">
        <v>1.2500000000000001E-2</v>
      </c>
      <c r="P103" s="24">
        <v>0.02</v>
      </c>
      <c r="Q103" s="24"/>
      <c r="R103" s="24">
        <v>8.5000000000000006E-2</v>
      </c>
      <c r="S103" s="24">
        <v>7.4999999999999997E-3</v>
      </c>
      <c r="T103" s="24">
        <v>0.3</v>
      </c>
      <c r="U103" s="13"/>
    </row>
    <row r="104" spans="2:21" x14ac:dyDescent="0.2">
      <c r="B104" s="13"/>
      <c r="C104" s="59"/>
      <c r="D104" s="13" t="s">
        <v>128</v>
      </c>
      <c r="E104" s="13"/>
      <c r="F104" s="24">
        <v>0.125</v>
      </c>
      <c r="G104" s="24">
        <v>1.4999999999999999E-2</v>
      </c>
      <c r="H104" s="24">
        <v>0.17</v>
      </c>
      <c r="I104" s="24"/>
      <c r="J104" s="24">
        <v>0.09</v>
      </c>
      <c r="K104" s="24">
        <v>7.4999999999999997E-3</v>
      </c>
      <c r="L104" s="24">
        <v>0.21</v>
      </c>
      <c r="M104" s="24"/>
      <c r="N104" s="24">
        <v>0.11</v>
      </c>
      <c r="O104" s="24">
        <v>1.2500000000000001E-2</v>
      </c>
      <c r="P104" s="24">
        <v>0.38</v>
      </c>
      <c r="Q104" s="24"/>
      <c r="R104" s="24">
        <v>0.09</v>
      </c>
      <c r="S104" s="24">
        <v>7.4999999999999997E-3</v>
      </c>
      <c r="T104" s="24">
        <v>0.31</v>
      </c>
      <c r="U104" s="13"/>
    </row>
    <row r="105" spans="2:21" ht="5" customHeight="1" x14ac:dyDescent="0.2">
      <c r="B105" s="13"/>
      <c r="C105" s="14"/>
      <c r="D105" s="13"/>
      <c r="E105" s="1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13"/>
    </row>
    <row r="106" spans="2:21" x14ac:dyDescent="0.2">
      <c r="B106" s="13"/>
      <c r="C106" s="59">
        <v>3</v>
      </c>
      <c r="D106" s="13" t="s">
        <v>124</v>
      </c>
      <c r="E106" s="13"/>
      <c r="F106" s="24">
        <v>7.0000000000000007E-2</v>
      </c>
      <c r="G106" s="24">
        <v>5.0000000000000001E-3</v>
      </c>
      <c r="H106" s="24">
        <v>0.18</v>
      </c>
      <c r="I106" s="24"/>
      <c r="J106" s="24">
        <v>0.08</v>
      </c>
      <c r="K106" s="24">
        <v>7.4999999999999997E-3</v>
      </c>
      <c r="L106" s="24">
        <v>0.24</v>
      </c>
      <c r="M106" s="24"/>
      <c r="N106" s="24">
        <v>9.5000000000000001E-2</v>
      </c>
      <c r="O106" s="24">
        <v>7.4999999999999997E-3</v>
      </c>
      <c r="P106" s="24">
        <v>0.17</v>
      </c>
      <c r="Q106" s="24"/>
      <c r="R106" s="24">
        <v>6.5000000000000002E-2</v>
      </c>
      <c r="S106" s="24">
        <v>5.0000000000000001E-3</v>
      </c>
      <c r="T106" s="24">
        <v>0.57999999999999996</v>
      </c>
      <c r="U106" s="13"/>
    </row>
    <row r="107" spans="2:21" x14ac:dyDescent="0.2">
      <c r="B107" s="13"/>
      <c r="C107" s="59"/>
      <c r="D107" s="13" t="s">
        <v>77</v>
      </c>
      <c r="E107" s="13"/>
      <c r="F107" s="24">
        <v>7.0000000000000007E-2</v>
      </c>
      <c r="G107" s="24">
        <v>5.0000000000000001E-3</v>
      </c>
      <c r="H107" s="24">
        <v>0.1</v>
      </c>
      <c r="I107" s="24"/>
      <c r="J107" s="24">
        <v>0.08</v>
      </c>
      <c r="K107" s="24">
        <v>7.4999999999999997E-3</v>
      </c>
      <c r="L107" s="24">
        <v>0.22</v>
      </c>
      <c r="M107" s="24"/>
      <c r="N107" s="24">
        <v>7.4999999999999997E-2</v>
      </c>
      <c r="O107" s="24">
        <v>5.0000000000000001E-3</v>
      </c>
      <c r="P107" s="24">
        <v>0.27</v>
      </c>
      <c r="Q107" s="24"/>
      <c r="R107" s="24">
        <v>7.0000000000000007E-2</v>
      </c>
      <c r="S107" s="24">
        <v>5.0000000000000001E-3</v>
      </c>
      <c r="T107" s="24">
        <v>0.56000000000000005</v>
      </c>
      <c r="U107" s="13"/>
    </row>
    <row r="108" spans="2:21" x14ac:dyDescent="0.2">
      <c r="B108" s="13"/>
      <c r="C108" s="59"/>
      <c r="D108" s="13" t="s">
        <v>125</v>
      </c>
      <c r="E108" s="13"/>
      <c r="F108" s="24">
        <v>0.1</v>
      </c>
      <c r="G108" s="24">
        <v>0.01</v>
      </c>
      <c r="H108" s="24">
        <v>0.05</v>
      </c>
      <c r="I108" s="24"/>
      <c r="J108" s="24">
        <v>7.4999999999999997E-2</v>
      </c>
      <c r="K108" s="24">
        <v>5.0000000000000001E-3</v>
      </c>
      <c r="L108" s="24">
        <v>0.22</v>
      </c>
      <c r="M108" s="24"/>
      <c r="N108" s="24">
        <v>0.08</v>
      </c>
      <c r="O108" s="24">
        <v>5.0000000000000001E-3</v>
      </c>
      <c r="P108" s="24">
        <v>0.26</v>
      </c>
      <c r="Q108" s="24"/>
      <c r="R108" s="24">
        <v>6.5000000000000002E-2</v>
      </c>
      <c r="S108" s="24">
        <v>5.0000000000000001E-3</v>
      </c>
      <c r="T108" s="24">
        <v>0.71</v>
      </c>
      <c r="U108" s="13"/>
    </row>
    <row r="109" spans="2:21" x14ac:dyDescent="0.2">
      <c r="B109" s="13"/>
      <c r="C109" s="59"/>
      <c r="D109" s="13" t="s">
        <v>75</v>
      </c>
      <c r="E109" s="13"/>
      <c r="F109" s="24">
        <v>7.4999999999999997E-2</v>
      </c>
      <c r="G109" s="24">
        <v>5.0000000000000001E-3</v>
      </c>
      <c r="H109" s="24">
        <v>7.0000000000000007E-2</v>
      </c>
      <c r="I109" s="24"/>
      <c r="J109" s="24">
        <v>0.08</v>
      </c>
      <c r="K109" s="24">
        <v>7.4999999999999997E-3</v>
      </c>
      <c r="L109" s="24">
        <v>0.17</v>
      </c>
      <c r="M109" s="24"/>
      <c r="N109" s="24">
        <v>0.09</v>
      </c>
      <c r="O109" s="24">
        <v>7.4999999999999997E-3</v>
      </c>
      <c r="P109" s="24">
        <v>0.2</v>
      </c>
      <c r="Q109" s="24"/>
      <c r="R109" s="24">
        <v>0.06</v>
      </c>
      <c r="S109" s="24">
        <v>2.5000000000000001E-3</v>
      </c>
      <c r="T109" s="24">
        <v>0.68</v>
      </c>
      <c r="U109" s="13"/>
    </row>
    <row r="110" spans="2:21" x14ac:dyDescent="0.2">
      <c r="B110" s="13"/>
      <c r="C110" s="59"/>
      <c r="D110" s="13" t="s">
        <v>126</v>
      </c>
      <c r="E110" s="13"/>
      <c r="F110" s="24">
        <v>7.0000000000000007E-2</v>
      </c>
      <c r="G110" s="24">
        <v>5.0000000000000001E-3</v>
      </c>
      <c r="H110" s="24">
        <v>0.08</v>
      </c>
      <c r="I110" s="24"/>
      <c r="J110" s="24">
        <v>0.08</v>
      </c>
      <c r="K110" s="24">
        <v>5.0000000000000001E-3</v>
      </c>
      <c r="L110" s="24">
        <v>0.22</v>
      </c>
      <c r="M110" s="24"/>
      <c r="N110" s="24">
        <v>7.4999999999999997E-2</v>
      </c>
      <c r="O110" s="24">
        <v>5.0000000000000001E-3</v>
      </c>
      <c r="P110" s="24">
        <v>0.27</v>
      </c>
      <c r="Q110" s="24"/>
      <c r="R110" s="24">
        <v>7.0000000000000007E-2</v>
      </c>
      <c r="S110" s="24">
        <v>5.0000000000000001E-3</v>
      </c>
      <c r="T110" s="24">
        <v>0.53</v>
      </c>
      <c r="U110" s="13"/>
    </row>
    <row r="111" spans="2:21" x14ac:dyDescent="0.2">
      <c r="B111" s="13"/>
      <c r="C111" s="59"/>
      <c r="D111" s="13" t="s">
        <v>127</v>
      </c>
      <c r="E111" s="13"/>
      <c r="F111" s="24">
        <v>7.4999999999999997E-2</v>
      </c>
      <c r="G111" s="24">
        <v>5.0000000000000001E-3</v>
      </c>
      <c r="H111" s="24">
        <v>0.12</v>
      </c>
      <c r="I111" s="24"/>
      <c r="J111" s="24">
        <v>8.5000000000000006E-2</v>
      </c>
      <c r="K111" s="24">
        <v>7.4999999999999997E-3</v>
      </c>
      <c r="L111" s="24">
        <v>0.14000000000000001</v>
      </c>
      <c r="M111" s="24"/>
      <c r="N111" s="24">
        <v>7.4999999999999997E-2</v>
      </c>
      <c r="O111" s="24">
        <v>5.0000000000000001E-3</v>
      </c>
      <c r="P111" s="24">
        <v>0.31</v>
      </c>
      <c r="Q111" s="24"/>
      <c r="R111" s="24">
        <v>6.5000000000000002E-2</v>
      </c>
      <c r="S111" s="24">
        <v>5.0000000000000001E-3</v>
      </c>
      <c r="T111" s="24">
        <v>0.57999999999999996</v>
      </c>
      <c r="U111" s="13"/>
    </row>
    <row r="112" spans="2:21" x14ac:dyDescent="0.2">
      <c r="B112" s="13"/>
      <c r="C112" s="59"/>
      <c r="D112" s="13" t="s">
        <v>73</v>
      </c>
      <c r="E112" s="13"/>
      <c r="F112" s="24">
        <v>0.08</v>
      </c>
      <c r="G112" s="24">
        <v>5.0000000000000001E-3</v>
      </c>
      <c r="H112" s="24">
        <v>0.01</v>
      </c>
      <c r="I112" s="24"/>
      <c r="J112" s="24">
        <v>7.4999999999999997E-2</v>
      </c>
      <c r="K112" s="24">
        <v>5.0000000000000001E-3</v>
      </c>
      <c r="L112" s="24">
        <v>0.15</v>
      </c>
      <c r="M112" s="24"/>
      <c r="N112" s="24">
        <v>7.4999999999999997E-2</v>
      </c>
      <c r="O112" s="24">
        <v>5.0000000000000001E-3</v>
      </c>
      <c r="P112" s="24">
        <v>0.26</v>
      </c>
      <c r="Q112" s="24"/>
      <c r="R112" s="24">
        <v>7.0000000000000007E-2</v>
      </c>
      <c r="S112" s="24">
        <v>5.0000000000000001E-3</v>
      </c>
      <c r="T112" s="24">
        <v>0.64</v>
      </c>
      <c r="U112" s="13"/>
    </row>
    <row r="113" spans="2:21" x14ac:dyDescent="0.2">
      <c r="B113" s="13"/>
      <c r="C113" s="59"/>
      <c r="D113" s="13" t="s">
        <v>128</v>
      </c>
      <c r="E113" s="13"/>
      <c r="F113" s="24">
        <v>0.09</v>
      </c>
      <c r="G113" s="24">
        <v>7.4999999999999997E-3</v>
      </c>
      <c r="H113" s="24">
        <v>0.04</v>
      </c>
      <c r="I113" s="24"/>
      <c r="J113" s="24">
        <v>0.08</v>
      </c>
      <c r="K113" s="24">
        <v>7.4999999999999997E-3</v>
      </c>
      <c r="L113" s="24">
        <v>0.25</v>
      </c>
      <c r="M113" s="24"/>
      <c r="N113" s="24">
        <v>0.08</v>
      </c>
      <c r="O113" s="24">
        <v>5.0000000000000001E-3</v>
      </c>
      <c r="P113" s="24">
        <v>0.22</v>
      </c>
      <c r="Q113" s="24"/>
      <c r="R113" s="24">
        <v>0.08</v>
      </c>
      <c r="S113" s="24">
        <v>7.4999999999999997E-3</v>
      </c>
      <c r="T113" s="24">
        <v>0.38</v>
      </c>
      <c r="U113" s="13"/>
    </row>
    <row r="114" spans="2:21" ht="5" customHeight="1" x14ac:dyDescent="0.2">
      <c r="B114" s="13"/>
      <c r="C114" s="14"/>
      <c r="D114" s="13"/>
      <c r="E114" s="13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13"/>
    </row>
    <row r="115" spans="2:21" x14ac:dyDescent="0.2">
      <c r="B115" s="13"/>
      <c r="C115" s="59">
        <v>4</v>
      </c>
      <c r="D115" s="13" t="s">
        <v>124</v>
      </c>
      <c r="E115" s="13"/>
      <c r="F115" s="24">
        <v>5.5E-2</v>
      </c>
      <c r="G115" s="24">
        <v>2.5000000000000001E-3</v>
      </c>
      <c r="H115" s="24">
        <v>0.27</v>
      </c>
      <c r="I115" s="24"/>
      <c r="J115" s="24">
        <v>0.06</v>
      </c>
      <c r="K115" s="24">
        <v>2.5000000000000001E-3</v>
      </c>
      <c r="L115" s="24">
        <v>0.09</v>
      </c>
      <c r="M115" s="24"/>
      <c r="N115" s="24">
        <v>0.105</v>
      </c>
      <c r="O115" s="24">
        <v>0.01</v>
      </c>
      <c r="P115" s="24">
        <v>0.38</v>
      </c>
      <c r="Q115" s="24"/>
      <c r="R115" s="24">
        <v>0.05</v>
      </c>
      <c r="S115" s="24">
        <v>2.5000000000000001E-3</v>
      </c>
      <c r="T115" s="24">
        <v>0.56000000000000005</v>
      </c>
      <c r="U115" s="13"/>
    </row>
    <row r="116" spans="2:21" x14ac:dyDescent="0.2">
      <c r="B116" s="13"/>
      <c r="C116" s="59"/>
      <c r="D116" s="13" t="s">
        <v>77</v>
      </c>
      <c r="E116" s="13"/>
      <c r="F116" s="24">
        <v>0.09</v>
      </c>
      <c r="G116" s="24">
        <v>7.4999999999999997E-3</v>
      </c>
      <c r="H116" s="24">
        <v>0.04</v>
      </c>
      <c r="I116" s="24"/>
      <c r="J116" s="24">
        <v>5.5E-2</v>
      </c>
      <c r="K116" s="24">
        <v>2.5000000000000001E-3</v>
      </c>
      <c r="L116" s="24">
        <v>0.24</v>
      </c>
      <c r="M116" s="24"/>
      <c r="N116" s="24">
        <v>9.5000000000000001E-2</v>
      </c>
      <c r="O116" s="24">
        <v>0.01</v>
      </c>
      <c r="P116" s="24">
        <v>0.44</v>
      </c>
      <c r="Q116" s="24"/>
      <c r="R116" s="24">
        <v>0.06</v>
      </c>
      <c r="S116" s="24">
        <v>2.5000000000000001E-3</v>
      </c>
      <c r="T116" s="24">
        <v>0.56000000000000005</v>
      </c>
      <c r="U116" s="13"/>
    </row>
    <row r="117" spans="2:21" x14ac:dyDescent="0.2">
      <c r="B117" s="13"/>
      <c r="C117" s="59"/>
      <c r="D117" s="13" t="s">
        <v>125</v>
      </c>
      <c r="E117" s="13"/>
      <c r="F117" s="24">
        <v>0.13500000000000001</v>
      </c>
      <c r="G117" s="24">
        <v>1.7500000000000002E-2</v>
      </c>
      <c r="H117" s="24">
        <v>0.17</v>
      </c>
      <c r="I117" s="24"/>
      <c r="J117" s="24">
        <v>9.5000000000000001E-2</v>
      </c>
      <c r="K117" s="24">
        <v>0.01</v>
      </c>
      <c r="L117" s="24">
        <v>0.13</v>
      </c>
      <c r="M117" s="24"/>
      <c r="N117" s="24">
        <v>0.08</v>
      </c>
      <c r="O117" s="24">
        <v>7.4999999999999997E-3</v>
      </c>
      <c r="P117" s="24">
        <v>0.59</v>
      </c>
      <c r="Q117" s="24"/>
      <c r="R117" s="24">
        <v>0.08</v>
      </c>
      <c r="S117" s="24">
        <v>5.0000000000000001E-3</v>
      </c>
      <c r="T117" s="24">
        <v>0.38</v>
      </c>
      <c r="U117" s="13"/>
    </row>
    <row r="118" spans="2:21" x14ac:dyDescent="0.2">
      <c r="B118" s="13"/>
      <c r="C118" s="59"/>
      <c r="D118" s="13" t="s">
        <v>75</v>
      </c>
      <c r="E118" s="13"/>
      <c r="F118" s="24">
        <v>6.5000000000000002E-2</v>
      </c>
      <c r="G118" s="24">
        <v>5.0000000000000001E-3</v>
      </c>
      <c r="H118" s="24">
        <v>0.12</v>
      </c>
      <c r="I118" s="24"/>
      <c r="J118" s="24">
        <v>8.5000000000000006E-2</v>
      </c>
      <c r="K118" s="24">
        <v>7.4999999999999997E-3</v>
      </c>
      <c r="L118" s="24">
        <v>0.22</v>
      </c>
      <c r="M118" s="24"/>
      <c r="N118" s="24">
        <v>0.08</v>
      </c>
      <c r="O118" s="24">
        <v>7.4999999999999997E-3</v>
      </c>
      <c r="P118" s="24">
        <v>0.64</v>
      </c>
      <c r="Q118" s="24"/>
      <c r="R118" s="24">
        <v>6.5000000000000002E-2</v>
      </c>
      <c r="S118" s="24">
        <v>5.0000000000000001E-3</v>
      </c>
      <c r="T118" s="24">
        <v>0.56000000000000005</v>
      </c>
      <c r="U118" s="13"/>
    </row>
    <row r="119" spans="2:21" x14ac:dyDescent="0.2">
      <c r="B119" s="13"/>
      <c r="C119" s="59"/>
      <c r="D119" s="13" t="s">
        <v>126</v>
      </c>
      <c r="E119" s="13"/>
      <c r="F119" s="24">
        <v>6.5000000000000002E-2</v>
      </c>
      <c r="G119" s="24">
        <v>5.0000000000000001E-3</v>
      </c>
      <c r="H119" s="24">
        <v>0.15</v>
      </c>
      <c r="I119" s="24"/>
      <c r="J119" s="24">
        <v>0.08</v>
      </c>
      <c r="K119" s="24">
        <v>5.0000000000000001E-3</v>
      </c>
      <c r="L119" s="24">
        <v>0.59</v>
      </c>
      <c r="M119" s="24"/>
      <c r="N119" s="24">
        <v>0.09</v>
      </c>
      <c r="O119" s="24">
        <v>7.4999999999999997E-3</v>
      </c>
      <c r="P119" s="24">
        <v>0.56999999999999995</v>
      </c>
      <c r="Q119" s="24"/>
      <c r="R119" s="24">
        <v>0.04</v>
      </c>
      <c r="S119" s="24">
        <v>2.5000000000000001E-3</v>
      </c>
      <c r="T119" s="24">
        <v>0.61</v>
      </c>
      <c r="U119" s="13"/>
    </row>
    <row r="120" spans="2:21" x14ac:dyDescent="0.2">
      <c r="B120" s="13"/>
      <c r="C120" s="59"/>
      <c r="D120" s="13" t="s">
        <v>127</v>
      </c>
      <c r="E120" s="13"/>
      <c r="F120" s="24">
        <v>0.06</v>
      </c>
      <c r="G120" s="24">
        <v>2.5000000000000001E-3</v>
      </c>
      <c r="H120" s="24">
        <v>0.12</v>
      </c>
      <c r="I120" s="24"/>
      <c r="J120" s="24">
        <v>0.1</v>
      </c>
      <c r="K120" s="24">
        <v>0.01</v>
      </c>
      <c r="L120" s="24">
        <v>0.11</v>
      </c>
      <c r="M120" s="24"/>
      <c r="N120" s="24">
        <v>9.5000000000000001E-2</v>
      </c>
      <c r="O120" s="24">
        <v>0.01</v>
      </c>
      <c r="P120" s="24">
        <v>0.52</v>
      </c>
      <c r="Q120" s="24"/>
      <c r="R120" s="24">
        <v>5.5E-2</v>
      </c>
      <c r="S120" s="24">
        <v>2.5000000000000001E-3</v>
      </c>
      <c r="T120" s="24">
        <v>0.69</v>
      </c>
      <c r="U120" s="13"/>
    </row>
    <row r="121" spans="2:21" x14ac:dyDescent="0.2">
      <c r="B121" s="13"/>
      <c r="C121" s="59"/>
      <c r="D121" s="13" t="s">
        <v>73</v>
      </c>
      <c r="E121" s="13"/>
      <c r="F121" s="24">
        <v>0.06</v>
      </c>
      <c r="G121" s="24">
        <v>2.5000000000000001E-3</v>
      </c>
      <c r="H121" s="52" t="s">
        <v>132</v>
      </c>
      <c r="I121" s="52"/>
      <c r="J121" s="24">
        <v>0.06</v>
      </c>
      <c r="K121" s="24">
        <v>2.5000000000000001E-3</v>
      </c>
      <c r="L121" s="52" t="s">
        <v>132</v>
      </c>
      <c r="M121" s="52"/>
      <c r="N121" s="24">
        <v>0.06</v>
      </c>
      <c r="O121" s="24">
        <v>2.5000000000000001E-3</v>
      </c>
      <c r="P121" s="24">
        <v>0.27</v>
      </c>
      <c r="Q121" s="24"/>
      <c r="R121" s="24">
        <v>7.4999999999999997E-2</v>
      </c>
      <c r="S121" s="24">
        <v>5.0000000000000001E-3</v>
      </c>
      <c r="T121" s="24">
        <v>0.37</v>
      </c>
      <c r="U121" s="13"/>
    </row>
    <row r="122" spans="2:21" ht="16" thickBot="1" x14ac:dyDescent="0.25">
      <c r="B122" s="13"/>
      <c r="C122" s="60"/>
      <c r="D122" s="15" t="s">
        <v>128</v>
      </c>
      <c r="E122" s="15"/>
      <c r="F122" s="50">
        <v>0.06</v>
      </c>
      <c r="G122" s="50">
        <v>2.5000000000000001E-3</v>
      </c>
      <c r="H122" s="50">
        <v>0.06</v>
      </c>
      <c r="I122" s="50"/>
      <c r="J122" s="50">
        <v>0.08</v>
      </c>
      <c r="K122" s="50">
        <v>7.4999999999999997E-3</v>
      </c>
      <c r="L122" s="50">
        <v>0.55000000000000004</v>
      </c>
      <c r="M122" s="50"/>
      <c r="N122" s="50">
        <v>0.1</v>
      </c>
      <c r="O122" s="50">
        <v>0.01</v>
      </c>
      <c r="P122" s="50">
        <v>0.36</v>
      </c>
      <c r="Q122" s="50"/>
      <c r="R122" s="50">
        <v>0.05</v>
      </c>
      <c r="S122" s="50">
        <v>2.5000000000000001E-3</v>
      </c>
      <c r="T122" s="50">
        <v>0.61</v>
      </c>
      <c r="U122" s="13"/>
    </row>
    <row r="123" spans="2:21" x14ac:dyDescent="0.2">
      <c r="B123" s="13"/>
      <c r="C123" s="41" t="s">
        <v>133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2:21" x14ac:dyDescent="0.2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2:21" x14ac:dyDescent="0.2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2:21" x14ac:dyDescent="0.2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2:21" x14ac:dyDescent="0.2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</sheetData>
  <mergeCells count="24">
    <mergeCell ref="C106:C113"/>
    <mergeCell ref="C115:C122"/>
    <mergeCell ref="N45:P45"/>
    <mergeCell ref="R45:T45"/>
    <mergeCell ref="C47:C54"/>
    <mergeCell ref="C56:C63"/>
    <mergeCell ref="C65:C72"/>
    <mergeCell ref="C74:C81"/>
    <mergeCell ref="J45:L45"/>
    <mergeCell ref="F86:H86"/>
    <mergeCell ref="J86:L86"/>
    <mergeCell ref="N86:P86"/>
    <mergeCell ref="R86:T86"/>
    <mergeCell ref="C88:C95"/>
    <mergeCell ref="C15:C22"/>
    <mergeCell ref="C24:C31"/>
    <mergeCell ref="C33:C40"/>
    <mergeCell ref="F45:H45"/>
    <mergeCell ref="C97:C104"/>
    <mergeCell ref="F4:H4"/>
    <mergeCell ref="J4:L4"/>
    <mergeCell ref="N4:P4"/>
    <mergeCell ref="R4:T4"/>
    <mergeCell ref="C6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FLowResults</vt:lpstr>
      <vt:lpstr>Table S3</vt:lpstr>
      <vt:lpstr>Table2_Tune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frankyzhang</dc:creator>
  <cp:lastModifiedBy>Zhang, Franky</cp:lastModifiedBy>
  <dcterms:created xsi:type="dcterms:W3CDTF">2024-12-26T21:35:24Z</dcterms:created>
  <dcterms:modified xsi:type="dcterms:W3CDTF">2025-10-12T20:01:56Z</dcterms:modified>
</cp:coreProperties>
</file>